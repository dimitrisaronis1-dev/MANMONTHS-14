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ronis\Desktop\ΕΦΑΡΜΟΓΗ ΑΝΘΡΩΠΟΜΗΝΩΝ\MASTER TEMPLATES\"/>
    </mc:Choice>
  </mc:AlternateContent>
  <xr:revisionPtr revIDLastSave="0" documentId="13_ncr:1_{B68B61B7-470B-4030-9A69-C17FCDB120A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V" sheetId="1" r:id="rId1"/>
    <sheet name="ΑΝΑΛΥΣΗ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6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</calcChain>
</file>

<file path=xl/sharedStrings.xml><?xml version="1.0" encoding="utf-8"?>
<sst xmlns="http://schemas.openxmlformats.org/spreadsheetml/2006/main" count="241" uniqueCount="83">
  <si>
    <t>Α/Α</t>
  </si>
  <si>
    <t>ΧΡΟΝΙΚΟ ΔΙΑΣΤΗΜΑ</t>
  </si>
  <si>
    <t>ΑΝΘΡΩΠΟΜΗΝΕΣ</t>
  </si>
  <si>
    <t>01/06/2013  -31/12/2013</t>
  </si>
  <si>
    <t>Εγκατάσταση, παραμετροποίηση και παροχή υπηρεσιών υποστήριξης Blade IBM Server, με IBM Storage για την πλήρη εικονοποίηση όλων των φυσικών servers του λιμενικού σώματος σε virtual περιβάλλον</t>
  </si>
  <si>
    <t>30/04/2013  -30/05/2013</t>
  </si>
  <si>
    <t>Εγκατάσταση παραμετροποίηση και παροχή υπηρεσιών υποστήριξης όλων των υπηρεσιών της Hellas Gold</t>
  </si>
  <si>
    <t>01/02/2014  -01/03/2014</t>
  </si>
  <si>
    <t>Εγκατάσταση – παραμετροποίηση και παροχή υπηρεσιών υποστήριξης backup SW και παραμετροποίηση – βελτιστοποίηση mail server υπουργείου</t>
  </si>
  <si>
    <t>10/03/2014  -10/05/2014</t>
  </si>
  <si>
    <t>Εγκατάσταση παραμετροποίηση και παροχή υπηρεσιών υποστήριξης περιβάλλοντος Εισαγγελίας Αθηνών Storage Dell</t>
  </si>
  <si>
    <t>10/05/2014  -10/06/2014</t>
  </si>
  <si>
    <t>Εγκατάσταση παραμετροποίηση και παροχή υπηρεσιών υποστήριξης virtualization Υπουργείου Δικαιοσύνης Storage Qnap</t>
  </si>
  <si>
    <t>01/10/2014  -01/12/2014</t>
  </si>
  <si>
    <t>Εγκατάσταση – παραμετροποίηση και παροχή υπηρεσιών υποστήριξης εικονικού περιβάλλοντος λειτουργίας των εφαρμογών του Παρατηρητηρίου. Storage Dell</t>
  </si>
  <si>
    <t>01/01/2011  - 01/04/2011</t>
  </si>
  <si>
    <t>Εγκατάσταση και παραμετροποίηση και παροχή υπηρεσιών υποστήριξης των λειτουργικών συστημάτων, εγκατάσταση και παραμετροποίηση των servers του συστήματος. Υποστήριξη 2ου επιπέδου</t>
  </si>
  <si>
    <t>01/04/2011  - 01/07/2011</t>
  </si>
  <si>
    <t>Εγκατάσταση και παραμετροποίηση και παροχή υπηρεσιών υποστήριξης ΙΤ εξοπλισμού, σε επίπεδο servers και τοπικών υπηρεσιών ανά τις πρεσβείες Storage HP</t>
  </si>
  <si>
    <t>01/07/2010  - 01/09/2011</t>
  </si>
  <si>
    <t>Ανάπτυξη και εγκατάσταση λογισμικών και εξοπλισμού τους. Υποστήριξη συνολικού δικτύου ( servers, clients, software). Storage IBM</t>
  </si>
  <si>
    <t>07/07/2011  - 21/04/2012</t>
  </si>
  <si>
    <t>Εγκατάσταση/παραμετροποίηση των ραντάρ, εγκατάσταση παραμετροποίηση των λογισμικών, υποστήριξη και επίλυση δυσλειτουργιών σε επίπεδο ραντάρ και λογισμικό αυτών σε επίπεδο 1ο , 2ο και 3ο .</t>
  </si>
  <si>
    <t>01/03/2009  - 01/11/2010</t>
  </si>
  <si>
    <t>01/2014 –  12/2014</t>
  </si>
  <si>
    <t>Εγκατάσταση παραμετροποίηση και παροχή υπηρεσιών υποστήριξης Storage Dell</t>
  </si>
  <si>
    <t>06/2015 –  07/2015</t>
  </si>
  <si>
    <t>Εγκατάσταση παραμετροποίηση και μετάβαση παλαιών λογισμικών Linux RedHat6, σε νέους RedHat Servers</t>
  </si>
  <si>
    <t>11/2014 –  05/2015</t>
  </si>
  <si>
    <t>Εγκατάσταση/Παραμετροποίηση/Υποστήριξ  η συστήματος Big Data Analyzing - Storage</t>
  </si>
  <si>
    <t>04/2016 –  07/2016</t>
  </si>
  <si>
    <t>Σχεδιασμός λύσης, Υλοποίηση, Παραμετροποίηση και συντήρηση- υποστήριξη σύμφωνα με τις ανάγκες της εταιρείας</t>
  </si>
  <si>
    <t>05/2016-  06/2016</t>
  </si>
  <si>
    <t>Ανάπτυξη κώδικα webservice για την φαρμακευτική εταιρεία LEO</t>
  </si>
  <si>
    <t>02/2017 –  07/2018</t>
  </si>
  <si>
    <t>Σχεδιασμός, εγκατάσταση και παραμετροποίηση δικτύου ραντάρ υποστήριξης Αεροδρομίων Λάρνακας και Πάφου και παροχή υπηρεσιών υποστήριξης</t>
  </si>
  <si>
    <t>04/2017-  05/2017</t>
  </si>
  <si>
    <t>Αναβάθμιση συστημάτων (Vmware)</t>
  </si>
  <si>
    <t>04/2018 –  07/2018</t>
  </si>
  <si>
    <t>Σχεδιασμός, εγκατάσταση, παραμετροποίηση και υποστήριξη υπηρεσίας Video/Game Streaming στο δίκτυο του ΟΠΑΠ</t>
  </si>
  <si>
    <t>03/2018 –  04/2018</t>
  </si>
  <si>
    <t>Αναβάθμιση/Υποστήριξη συστημάτων παρακολούθησης δικτύου NMS.</t>
  </si>
  <si>
    <t>11/2017 –  12/2017</t>
  </si>
  <si>
    <t>Εγκατάσταση/Παραμετροποίηση/Υποστήριξ  η Cloud υπηρεσιών στην εταιρεία WebIQ</t>
  </si>
  <si>
    <t>01/2018 –  10/2018</t>
  </si>
  <si>
    <t>Αναβάθμιση συστημάτων παρακολούθησης δικτύου NMS.</t>
  </si>
  <si>
    <t>04/2018 –  06/2018</t>
  </si>
  <si>
    <t>Εγκατάσταση/Υποστήριξη messaging system πολιτικής αεροπορίας.</t>
  </si>
  <si>
    <t>06/2019 –  10/2020</t>
  </si>
  <si>
    <t>Υποστήριξη Cloud υπηρεσιών MITA</t>
  </si>
  <si>
    <t>04/2019 –  05/2019</t>
  </si>
  <si>
    <t>Αναβάθμιση συστήματος NMS</t>
  </si>
  <si>
    <t>09/2019 –  02/2020</t>
  </si>
  <si>
    <t>Αναβάθμιση συστημάτων (Vmware) όλου του ομίλου</t>
  </si>
  <si>
    <t>01/09/2021 - 01/11/2021</t>
  </si>
  <si>
    <t>Αναβάθμιση και μετάπτωση της κεντρικής υποδομής της ηλεκτρονικής VISA - Storage</t>
  </si>
  <si>
    <t>29/03/2021  – 07/2021</t>
  </si>
  <si>
    <t>Σχεδίαση/Αναβάθμιση/Υποστήριξη/Μετάπτ ωση Webmail ΕΛ.ΑΣ</t>
  </si>
  <si>
    <t>01/11/2021  – 01/12/2021</t>
  </si>
  <si>
    <t>Εγκατάσταση – Παραμετροποίηση κεντρικής υποδομής ENTRY-EXIT για την ΕΛ.ΑΣ</t>
  </si>
  <si>
    <t>01/12/2021  – 01/01/2022</t>
  </si>
  <si>
    <t>Αναβάθμιση/Μετάπτωση κεντρικής υποδομής ΕΜΥ - Storage</t>
  </si>
  <si>
    <t>10/09/2021  – 11/2021</t>
  </si>
  <si>
    <t>Σχεδιασμός μετάπτωσης υπηρεσίας Azure cloud Mail πολυτεχνείου Κρήτης</t>
  </si>
  <si>
    <t>05/2022 –  11/2022</t>
  </si>
  <si>
    <t>Εγκατάσταση και παραμετροποίηση Vmware φάρμας για την υποστήριξη των μηχανημάτων του έργου</t>
  </si>
  <si>
    <t>03/2022 –  04/2022</t>
  </si>
  <si>
    <t>Αναβάθμιση συστημάτων ΥΠ.ΕΞ</t>
  </si>
  <si>
    <t>06/2022 –  07/2022</t>
  </si>
  <si>
    <t>Εγκατάσταση – παραμετροποίηση και παροχή υπηρεσιών υποστήριξης Vmware VDI υποδομής στο ΕΑΠ</t>
  </si>
  <si>
    <t>08/2023 –  09/2023</t>
  </si>
  <si>
    <t>Αναβάθμιση virtualized συστημάτων στην Εθνική Επιτροπή Ατομικών Ερευνών</t>
  </si>
  <si>
    <t>12/2023 –  02/2024</t>
  </si>
  <si>
    <t>Μετάπτωση εφαρμογών σε νέο storage</t>
  </si>
  <si>
    <t>01/04/2024  –  Σήμερα</t>
  </si>
  <si>
    <t>Εγκατάσταση – Σχεδιασμός – Παραμετροποίηση και παροχή υπηρεσιών υποστήριξης νέου κυβερνητικού νέφους</t>
  </si>
  <si>
    <t>06/2024 –  07/2024</t>
  </si>
  <si>
    <t>Συγγραφή Μελέτης Εφαρμογής</t>
  </si>
  <si>
    <t>ΑΝΘΡΩΠΟΜΗΝΕΣ ΕΜΠΕΙΡΙΑΣ</t>
  </si>
  <si>
    <t>ΕΤΗΣΙΑ ΣΥΝΟΛΑ</t>
  </si>
  <si>
    <t>X</t>
  </si>
  <si>
    <t>ΕΡΓΑ</t>
  </si>
  <si>
    <t>ΑΜ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</si>
</sst>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1"/>
      <name val="Aptos Narrow"/>
    </font>
    <font>
      <sz val="11"/>
      <color rgb="FFFFFFFF"/>
      <name val="Aptos Narrow"/>
    </font>
    <font>
      <sz val="11"/>
      <color rgb="FF000000"/>
      <name val="Aptos Narrow"/>
    </font>
    <font>
      <b/>
      <sz val="11"/>
      <color rgb="FF000000"/>
      <name val="Aptos Narrow"/>
    </font>
    <font>
      <b/>
      <sz val="11"/>
      <color rgb="FFFFFFFF"/>
      <name val="Aptos Narrow"/>
    </font>
    <font>
      <b/>
      <sz val="11"/>
      <color rgb="FFFF0000"/>
      <name val="Aptos Narrow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0"/>
      <color theme="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A544E"/>
        <bgColor rgb="FF2A544E"/>
      </patternFill>
    </fill>
    <fill>
      <patternFill patternType="solid">
        <fgColor rgb="FF3FEBEF"/>
        <bgColor rgb="FF3FEBEF"/>
      </patternFill>
    </fill>
    <fill>
      <patternFill patternType="solid">
        <fgColor rgb="FF7359ED"/>
        <bgColor rgb="FF7359ED"/>
      </patternFill>
    </fill>
    <fill>
      <patternFill patternType="solid">
        <fgColor rgb="FF788ADD"/>
        <bgColor rgb="FF788ADD"/>
      </patternFill>
    </fill>
    <fill>
      <patternFill patternType="solid">
        <fgColor rgb="FF219894"/>
        <bgColor rgb="FF219894"/>
      </patternFill>
    </fill>
    <fill>
      <patternFill patternType="solid">
        <fgColor rgb="FF8A68A6"/>
        <bgColor rgb="FF8A68A6"/>
      </patternFill>
    </fill>
    <fill>
      <patternFill patternType="solid">
        <fgColor rgb="FF129091"/>
        <bgColor rgb="FF129091"/>
      </patternFill>
    </fill>
    <fill>
      <patternFill patternType="solid">
        <fgColor rgb="FF59E63F"/>
        <bgColor rgb="FF59E63F"/>
      </patternFill>
    </fill>
    <fill>
      <patternFill patternType="solid">
        <fgColor rgb="FF84F876"/>
        <bgColor rgb="FF84F876"/>
      </patternFill>
    </fill>
    <fill>
      <patternFill patternType="solid">
        <fgColor rgb="FF13CEED"/>
        <bgColor rgb="FF13CEED"/>
      </patternFill>
    </fill>
    <fill>
      <patternFill patternType="solid">
        <fgColor rgb="FFD8417F"/>
        <bgColor rgb="FFD8417F"/>
      </patternFill>
    </fill>
    <fill>
      <patternFill patternType="solid">
        <fgColor rgb="FF73CC87"/>
        <bgColor rgb="FF73CC87"/>
      </patternFill>
    </fill>
    <fill>
      <patternFill patternType="solid">
        <fgColor rgb="FFB70727"/>
        <bgColor rgb="FFB70727"/>
      </patternFill>
    </fill>
    <fill>
      <patternFill patternType="solid">
        <fgColor rgb="FF1728C4"/>
        <bgColor rgb="FF1728C4"/>
      </patternFill>
    </fill>
    <fill>
      <patternFill patternType="solid">
        <fgColor rgb="FF0E40CB"/>
        <bgColor rgb="FF0E40CB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rgb="FFFFFF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0" fillId="0" borderId="12" xfId="0" applyBorder="1"/>
    <xf numFmtId="0" fontId="2" fillId="2" borderId="4" xfId="0" applyFont="1" applyFill="1" applyBorder="1"/>
    <xf numFmtId="0" fontId="2" fillId="2" borderId="5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2" fillId="2" borderId="6" xfId="0" applyFont="1" applyFill="1" applyBorder="1"/>
    <xf numFmtId="0" fontId="2" fillId="2" borderId="7" xfId="0" applyFont="1" applyFill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3" fillId="18" borderId="12" xfId="0" applyFont="1" applyFill="1" applyBorder="1"/>
    <xf numFmtId="0" fontId="1" fillId="19" borderId="12" xfId="0" applyFont="1" applyFill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0" fillId="19" borderId="12" xfId="0" applyFill="1" applyBorder="1"/>
    <xf numFmtId="0" fontId="1" fillId="0" borderId="12" xfId="0" applyFont="1" applyBorder="1" applyAlignment="1">
      <alignment vertical="center" wrapText="1"/>
    </xf>
    <xf numFmtId="0" fontId="8" fillId="0" borderId="12" xfId="0" applyFont="1" applyBorder="1"/>
    <xf numFmtId="0" fontId="5" fillId="0" borderId="12" xfId="0" applyFont="1" applyBorder="1"/>
    <xf numFmtId="0" fontId="0" fillId="0" borderId="0" xfId="0" applyAlignment="1">
      <alignment wrapText="1"/>
    </xf>
    <xf numFmtId="0" fontId="2" fillId="2" borderId="4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0" fillId="0" borderId="12" xfId="0" applyBorder="1" applyAlignment="1">
      <alignment wrapText="1"/>
    </xf>
    <xf numFmtId="0" fontId="10" fillId="0" borderId="12" xfId="0" applyFont="1" applyBorder="1"/>
    <xf numFmtId="0" fontId="9" fillId="0" borderId="0" xfId="0" applyFont="1" applyAlignment="1">
      <alignment wrapText="1"/>
    </xf>
    <xf numFmtId="0" fontId="9" fillId="0" borderId="1" xfId="0" applyFont="1" applyBorder="1"/>
    <xf numFmtId="0" fontId="0" fillId="18" borderId="12" xfId="0" applyFill="1" applyBorder="1"/>
    <xf numFmtId="0" fontId="9" fillId="0" borderId="12" xfId="0" applyFont="1" applyBorder="1"/>
    <xf numFmtId="0" fontId="10" fillId="0" borderId="12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9" fillId="22" borderId="12" xfId="0" applyFont="1" applyFill="1" applyBorder="1"/>
    <xf numFmtId="0" fontId="4" fillId="17" borderId="12" xfId="0" applyFont="1" applyFill="1" applyBorder="1"/>
    <xf numFmtId="0" fontId="0" fillId="0" borderId="12" xfId="0" applyBorder="1"/>
    <xf numFmtId="0" fontId="7" fillId="21" borderId="12" xfId="0" applyFont="1" applyFill="1" applyBorder="1" applyAlignment="1">
      <alignment horizontal="center"/>
    </xf>
    <xf numFmtId="0" fontId="6" fillId="20" borderId="12" xfId="0" applyFont="1" applyFill="1" applyBorder="1" applyAlignment="1">
      <alignment horizontal="center" vertical="center"/>
    </xf>
    <xf numFmtId="0" fontId="0" fillId="0" borderId="0" xfId="0"/>
    <xf numFmtId="0" fontId="4" fillId="15" borderId="12" xfId="0" applyFont="1" applyFill="1" applyBorder="1"/>
    <xf numFmtId="0" fontId="0" fillId="0" borderId="2" xfId="0" applyBorder="1"/>
    <xf numFmtId="0" fontId="0" fillId="0" borderId="3" xfId="0" applyBorder="1"/>
    <xf numFmtId="0" fontId="4" fillId="7" borderId="12" xfId="0" applyFont="1" applyFill="1" applyBorder="1"/>
    <xf numFmtId="0" fontId="7" fillId="21" borderId="12" xfId="0" applyFont="1" applyFill="1" applyBorder="1" applyAlignment="1">
      <alignment horizontal="center" vertical="center"/>
    </xf>
    <xf numFmtId="0" fontId="4" fillId="8" borderId="12" xfId="0" applyFont="1" applyFill="1" applyBorder="1"/>
    <xf numFmtId="0" fontId="7" fillId="21" borderId="12" xfId="0" applyFont="1" applyFill="1" applyBorder="1"/>
    <xf numFmtId="0" fontId="3" fillId="0" borderId="12" xfId="0" applyFont="1" applyBorder="1" applyAlignment="1">
      <alignment horizontal="center" vertical="center"/>
    </xf>
    <xf numFmtId="0" fontId="4" fillId="16" borderId="12" xfId="0" applyFont="1" applyFill="1" applyBorder="1"/>
    <xf numFmtId="0" fontId="4" fillId="5" borderId="12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4" fillId="9" borderId="12" xfId="0" applyFont="1" applyFill="1" applyBorder="1"/>
    <xf numFmtId="0" fontId="5" fillId="10" borderId="12" xfId="0" applyFont="1" applyFill="1" applyBorder="1"/>
    <xf numFmtId="0" fontId="5" fillId="11" borderId="12" xfId="0" applyFont="1" applyFill="1" applyBorder="1"/>
    <xf numFmtId="0" fontId="5" fillId="12" borderId="12" xfId="0" applyFont="1" applyFill="1" applyBorder="1"/>
    <xf numFmtId="0" fontId="4" fillId="13" borderId="12" xfId="0" applyFont="1" applyFill="1" applyBorder="1"/>
    <xf numFmtId="0" fontId="5" fillId="14" borderId="12" xfId="0" applyFont="1" applyFill="1" applyBorder="1"/>
    <xf numFmtId="0" fontId="4" fillId="3" borderId="12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workbookViewId="0">
      <selection activeCell="B6" sqref="B6"/>
    </sheetView>
  </sheetViews>
  <sheetFormatPr defaultRowHeight="14.4" x14ac:dyDescent="0.3"/>
  <cols>
    <col min="1" max="1" width="3.77734375" customWidth="1"/>
    <col min="2" max="2" width="56.44140625" style="20" customWidth="1"/>
    <col min="3" max="3" width="24.6640625" customWidth="1"/>
    <col min="4" max="4" width="16.77734375" customWidth="1"/>
    <col min="5" max="5" width="8.88671875" customWidth="1"/>
  </cols>
  <sheetData>
    <row r="1" spans="1:4" ht="15" thickBot="1" x14ac:dyDescent="0.35">
      <c r="A1" s="27" t="s">
        <v>0</v>
      </c>
      <c r="B1" s="28" t="s">
        <v>81</v>
      </c>
      <c r="C1" s="29" t="s">
        <v>1</v>
      </c>
      <c r="D1" s="29" t="s">
        <v>2</v>
      </c>
    </row>
    <row r="2" spans="1:4" ht="56.4" thickTop="1" thickBot="1" x14ac:dyDescent="0.35">
      <c r="A2" s="2">
        <v>1</v>
      </c>
      <c r="B2" s="21" t="s">
        <v>4</v>
      </c>
      <c r="C2" s="3" t="s">
        <v>3</v>
      </c>
      <c r="D2" s="4">
        <v>6</v>
      </c>
    </row>
    <row r="3" spans="1:4" ht="28.2" thickBot="1" x14ac:dyDescent="0.35">
      <c r="A3" s="2">
        <v>2</v>
      </c>
      <c r="B3" s="22" t="s">
        <v>6</v>
      </c>
      <c r="C3" s="5" t="s">
        <v>5</v>
      </c>
      <c r="D3" s="6">
        <v>1</v>
      </c>
    </row>
    <row r="4" spans="1:4" ht="42" thickBot="1" x14ac:dyDescent="0.35">
      <c r="A4" s="2">
        <v>3</v>
      </c>
      <c r="B4" s="22" t="s">
        <v>8</v>
      </c>
      <c r="C4" s="5" t="s">
        <v>7</v>
      </c>
      <c r="D4" s="6">
        <v>2</v>
      </c>
    </row>
    <row r="5" spans="1:4" ht="28.2" thickBot="1" x14ac:dyDescent="0.35">
      <c r="A5" s="2">
        <v>4</v>
      </c>
      <c r="B5" s="23" t="s">
        <v>10</v>
      </c>
      <c r="C5" s="7" t="s">
        <v>9</v>
      </c>
      <c r="D5" s="8">
        <v>2</v>
      </c>
    </row>
    <row r="6" spans="1:4" ht="28.2" thickBot="1" x14ac:dyDescent="0.35">
      <c r="A6" s="2">
        <v>5</v>
      </c>
      <c r="B6" s="23" t="s">
        <v>12</v>
      </c>
      <c r="C6" s="7" t="s">
        <v>11</v>
      </c>
      <c r="D6" s="8">
        <v>1</v>
      </c>
    </row>
    <row r="7" spans="1:4" ht="42" thickBot="1" x14ac:dyDescent="0.35">
      <c r="A7" s="2">
        <v>6</v>
      </c>
      <c r="B7" s="23" t="s">
        <v>14</v>
      </c>
      <c r="C7" s="7" t="s">
        <v>13</v>
      </c>
      <c r="D7" s="8">
        <v>2</v>
      </c>
    </row>
    <row r="8" spans="1:4" ht="55.8" thickBot="1" x14ac:dyDescent="0.35">
      <c r="A8" s="2">
        <v>7</v>
      </c>
      <c r="B8" s="22" t="s">
        <v>16</v>
      </c>
      <c r="C8" s="5" t="s">
        <v>15</v>
      </c>
      <c r="D8" s="6">
        <v>3</v>
      </c>
    </row>
    <row r="9" spans="1:4" ht="42" thickBot="1" x14ac:dyDescent="0.35">
      <c r="A9" s="2">
        <v>8</v>
      </c>
      <c r="B9" s="23" t="s">
        <v>18</v>
      </c>
      <c r="C9" s="7" t="s">
        <v>17</v>
      </c>
      <c r="D9" s="8">
        <v>3</v>
      </c>
    </row>
    <row r="10" spans="1:4" ht="42" thickBot="1" x14ac:dyDescent="0.35">
      <c r="A10" s="2">
        <v>9</v>
      </c>
      <c r="B10" s="23" t="s">
        <v>20</v>
      </c>
      <c r="C10" s="7" t="s">
        <v>19</v>
      </c>
      <c r="D10" s="8">
        <v>9</v>
      </c>
    </row>
    <row r="11" spans="1:4" ht="55.8" thickBot="1" x14ac:dyDescent="0.35">
      <c r="A11" s="2">
        <v>10</v>
      </c>
      <c r="B11" s="24" t="s">
        <v>22</v>
      </c>
      <c r="C11" s="9" t="s">
        <v>21</v>
      </c>
      <c r="D11" s="10">
        <v>5</v>
      </c>
    </row>
    <row r="12" spans="1:4" ht="55.8" thickBot="1" x14ac:dyDescent="0.35">
      <c r="A12" s="2">
        <v>11</v>
      </c>
      <c r="B12" s="22" t="s">
        <v>22</v>
      </c>
      <c r="C12" s="5" t="s">
        <v>23</v>
      </c>
      <c r="D12" s="6">
        <v>10</v>
      </c>
    </row>
    <row r="13" spans="1:4" ht="28.2" thickBot="1" x14ac:dyDescent="0.35">
      <c r="A13" s="2">
        <v>12</v>
      </c>
      <c r="B13" s="23" t="s">
        <v>25</v>
      </c>
      <c r="C13" s="7" t="s">
        <v>24</v>
      </c>
      <c r="D13" s="8">
        <v>5</v>
      </c>
    </row>
    <row r="14" spans="1:4" ht="28.2" thickBot="1" x14ac:dyDescent="0.35">
      <c r="A14" s="2">
        <v>13</v>
      </c>
      <c r="B14" s="22" t="s">
        <v>27</v>
      </c>
      <c r="C14" s="5" t="s">
        <v>26</v>
      </c>
      <c r="D14" s="6">
        <v>1</v>
      </c>
    </row>
    <row r="15" spans="1:4" ht="28.2" thickBot="1" x14ac:dyDescent="0.35">
      <c r="A15" s="2">
        <v>14</v>
      </c>
      <c r="B15" s="23" t="s">
        <v>29</v>
      </c>
      <c r="C15" s="7" t="s">
        <v>28</v>
      </c>
      <c r="D15" s="8">
        <v>4</v>
      </c>
    </row>
    <row r="16" spans="1:4" ht="28.2" thickBot="1" x14ac:dyDescent="0.35">
      <c r="A16" s="2">
        <v>15</v>
      </c>
      <c r="B16" s="22" t="s">
        <v>31</v>
      </c>
      <c r="C16" s="5" t="s">
        <v>30</v>
      </c>
      <c r="D16" s="6">
        <v>1</v>
      </c>
    </row>
    <row r="17" spans="1:4" ht="15" thickBot="1" x14ac:dyDescent="0.35">
      <c r="A17" s="2">
        <v>16</v>
      </c>
      <c r="B17" s="22" t="s">
        <v>33</v>
      </c>
      <c r="C17" s="5" t="s">
        <v>32</v>
      </c>
      <c r="D17" s="6">
        <v>1</v>
      </c>
    </row>
    <row r="18" spans="1:4" ht="42" thickBot="1" x14ac:dyDescent="0.35">
      <c r="A18" s="2">
        <v>17</v>
      </c>
      <c r="B18" s="22" t="s">
        <v>35</v>
      </c>
      <c r="C18" s="5" t="s">
        <v>34</v>
      </c>
      <c r="D18" s="6">
        <v>17</v>
      </c>
    </row>
    <row r="19" spans="1:4" ht="15" thickBot="1" x14ac:dyDescent="0.35">
      <c r="A19" s="2">
        <v>18</v>
      </c>
      <c r="B19" s="22" t="s">
        <v>37</v>
      </c>
      <c r="C19" s="5" t="s">
        <v>36</v>
      </c>
      <c r="D19" s="6">
        <v>1</v>
      </c>
    </row>
    <row r="20" spans="1:4" ht="28.2" thickBot="1" x14ac:dyDescent="0.35">
      <c r="A20" s="2">
        <v>19</v>
      </c>
      <c r="B20" s="22" t="s">
        <v>39</v>
      </c>
      <c r="C20" s="5" t="s">
        <v>38</v>
      </c>
      <c r="D20" s="6">
        <v>3</v>
      </c>
    </row>
    <row r="21" spans="1:4" ht="28.2" thickBot="1" x14ac:dyDescent="0.35">
      <c r="A21" s="2">
        <v>20</v>
      </c>
      <c r="B21" s="22" t="s">
        <v>41</v>
      </c>
      <c r="C21" s="5" t="s">
        <v>40</v>
      </c>
      <c r="D21" s="6">
        <v>1</v>
      </c>
    </row>
    <row r="22" spans="1:4" ht="28.2" thickBot="1" x14ac:dyDescent="0.35">
      <c r="A22" s="2">
        <v>21</v>
      </c>
      <c r="B22" s="22" t="s">
        <v>43</v>
      </c>
      <c r="C22" s="5" t="s">
        <v>42</v>
      </c>
      <c r="D22" s="6">
        <v>1</v>
      </c>
    </row>
    <row r="23" spans="1:4" ht="15" thickBot="1" x14ac:dyDescent="0.35">
      <c r="A23" s="2">
        <v>22</v>
      </c>
      <c r="B23" s="22" t="s">
        <v>45</v>
      </c>
      <c r="C23" s="5" t="s">
        <v>44</v>
      </c>
      <c r="D23" s="6">
        <v>9</v>
      </c>
    </row>
    <row r="24" spans="1:4" ht="15" thickBot="1" x14ac:dyDescent="0.35">
      <c r="A24" s="2">
        <v>23</v>
      </c>
      <c r="B24" s="22" t="s">
        <v>47</v>
      </c>
      <c r="C24" s="5" t="s">
        <v>46</v>
      </c>
      <c r="D24" s="6">
        <v>2</v>
      </c>
    </row>
    <row r="25" spans="1:4" ht="15" thickBot="1" x14ac:dyDescent="0.35">
      <c r="A25" s="2">
        <v>24</v>
      </c>
      <c r="B25" s="22" t="s">
        <v>49</v>
      </c>
      <c r="C25" s="5" t="s">
        <v>48</v>
      </c>
      <c r="D25" s="6">
        <v>16</v>
      </c>
    </row>
    <row r="26" spans="1:4" ht="15" thickBot="1" x14ac:dyDescent="0.35">
      <c r="A26" s="2">
        <v>25</v>
      </c>
      <c r="B26" s="24" t="s">
        <v>51</v>
      </c>
      <c r="C26" s="9" t="s">
        <v>50</v>
      </c>
      <c r="D26" s="10">
        <v>1</v>
      </c>
    </row>
    <row r="27" spans="1:4" ht="15" thickBot="1" x14ac:dyDescent="0.35">
      <c r="A27" s="2">
        <v>26</v>
      </c>
      <c r="B27" s="22" t="s">
        <v>53</v>
      </c>
      <c r="C27" s="5" t="s">
        <v>52</v>
      </c>
      <c r="D27" s="6">
        <v>5</v>
      </c>
    </row>
    <row r="28" spans="1:4" ht="28.2" thickBot="1" x14ac:dyDescent="0.35">
      <c r="A28" s="2">
        <v>27</v>
      </c>
      <c r="B28" s="23" t="s">
        <v>55</v>
      </c>
      <c r="C28" s="7" t="s">
        <v>54</v>
      </c>
      <c r="D28" s="8">
        <v>2</v>
      </c>
    </row>
    <row r="29" spans="1:4" ht="15" thickBot="1" x14ac:dyDescent="0.35">
      <c r="A29" s="2">
        <v>28</v>
      </c>
      <c r="B29" s="22" t="s">
        <v>57</v>
      </c>
      <c r="C29" s="5" t="s">
        <v>56</v>
      </c>
      <c r="D29" s="6">
        <v>3</v>
      </c>
    </row>
    <row r="30" spans="1:4" ht="28.2" thickBot="1" x14ac:dyDescent="0.35">
      <c r="A30" s="2">
        <v>29</v>
      </c>
      <c r="B30" s="22" t="s">
        <v>59</v>
      </c>
      <c r="C30" s="5" t="s">
        <v>58</v>
      </c>
      <c r="D30" s="6">
        <v>1</v>
      </c>
    </row>
    <row r="31" spans="1:4" ht="15" thickBot="1" x14ac:dyDescent="0.35">
      <c r="A31" s="2">
        <v>30</v>
      </c>
      <c r="B31" s="23" t="s">
        <v>61</v>
      </c>
      <c r="C31" s="7" t="s">
        <v>60</v>
      </c>
      <c r="D31" s="8">
        <v>1</v>
      </c>
    </row>
    <row r="32" spans="1:4" ht="28.2" thickBot="1" x14ac:dyDescent="0.35">
      <c r="A32" s="2">
        <v>31</v>
      </c>
      <c r="B32" s="22" t="s">
        <v>63</v>
      </c>
      <c r="C32" s="5" t="s">
        <v>62</v>
      </c>
      <c r="D32" s="6">
        <v>1</v>
      </c>
    </row>
    <row r="33" spans="1:4" ht="28.2" thickBot="1" x14ac:dyDescent="0.35">
      <c r="A33" s="2">
        <v>32</v>
      </c>
      <c r="B33" s="22" t="s">
        <v>65</v>
      </c>
      <c r="C33" s="5" t="s">
        <v>64</v>
      </c>
      <c r="D33" s="6">
        <v>6</v>
      </c>
    </row>
    <row r="34" spans="1:4" ht="15" thickBot="1" x14ac:dyDescent="0.35">
      <c r="A34" s="2">
        <v>33</v>
      </c>
      <c r="B34" s="22" t="s">
        <v>67</v>
      </c>
      <c r="C34" s="5" t="s">
        <v>66</v>
      </c>
      <c r="D34" s="6">
        <v>1</v>
      </c>
    </row>
    <row r="35" spans="1:4" ht="28.2" thickBot="1" x14ac:dyDescent="0.35">
      <c r="A35" s="2">
        <v>34</v>
      </c>
      <c r="B35" s="22" t="s">
        <v>69</v>
      </c>
      <c r="C35" s="5" t="s">
        <v>68</v>
      </c>
      <c r="D35" s="6">
        <v>1</v>
      </c>
    </row>
    <row r="36" spans="1:4" ht="28.2" thickBot="1" x14ac:dyDescent="0.35">
      <c r="A36" s="2">
        <v>35</v>
      </c>
      <c r="B36" s="22" t="s">
        <v>71</v>
      </c>
      <c r="C36" s="5" t="s">
        <v>70</v>
      </c>
      <c r="D36" s="6">
        <v>1</v>
      </c>
    </row>
    <row r="37" spans="1:4" ht="15" thickBot="1" x14ac:dyDescent="0.35">
      <c r="A37" s="2">
        <v>36</v>
      </c>
      <c r="B37" s="23" t="s">
        <v>73</v>
      </c>
      <c r="C37" s="7" t="s">
        <v>72</v>
      </c>
      <c r="D37" s="8">
        <v>2</v>
      </c>
    </row>
    <row r="38" spans="1:4" ht="28.2" thickBot="1" x14ac:dyDescent="0.35">
      <c r="A38" s="2">
        <v>37</v>
      </c>
      <c r="B38" s="22" t="s">
        <v>75</v>
      </c>
      <c r="C38" s="5" t="s">
        <v>74</v>
      </c>
      <c r="D38" s="6">
        <v>3</v>
      </c>
    </row>
    <row r="39" spans="1:4" ht="15" thickBot="1" x14ac:dyDescent="0.35">
      <c r="A39" s="2">
        <v>38</v>
      </c>
      <c r="B39" s="25" t="s">
        <v>77</v>
      </c>
      <c r="C39" s="11" t="s">
        <v>76</v>
      </c>
      <c r="D39" s="1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M43"/>
  <sheetViews>
    <sheetView tabSelected="1" zoomScaleNormal="100" workbookViewId="0">
      <pane xSplit="4" topLeftCell="E1" activePane="topRight" state="frozen"/>
      <selection activeCell="K8" sqref="K8"/>
      <selection pane="topRight" activeCell="L15" sqref="L15"/>
    </sheetView>
  </sheetViews>
  <sheetFormatPr defaultRowHeight="14.4" x14ac:dyDescent="0.3"/>
  <cols>
    <col min="1" max="1" width="3.77734375" customWidth="1"/>
    <col min="2" max="2" width="26.21875" customWidth="1"/>
    <col min="3" max="3" width="24.6640625" customWidth="1"/>
    <col min="4" max="4" width="9.88671875" customWidth="1"/>
    <col min="5" max="5" width="7.6640625" customWidth="1"/>
    <col min="6" max="6" width="2.44140625" style="20" customWidth="1"/>
    <col min="7" max="7" width="2.44140625" bestFit="1" customWidth="1"/>
    <col min="8" max="10" width="2.44140625" customWidth="1"/>
    <col min="11" max="12" width="2.44140625" bestFit="1" customWidth="1"/>
    <col min="13" max="14" width="2.44140625" customWidth="1"/>
    <col min="15" max="15" width="2.44140625" bestFit="1" customWidth="1"/>
    <col min="16" max="17" width="2.44140625" customWidth="1"/>
    <col min="18" max="18" width="2.44140625" bestFit="1" customWidth="1"/>
    <col min="19" max="26" width="2.44140625" customWidth="1"/>
    <col min="27" max="27" width="2.44140625" bestFit="1" customWidth="1"/>
    <col min="28" max="29" width="2.44140625" customWidth="1"/>
    <col min="30" max="30" width="2.44140625" bestFit="1" customWidth="1"/>
    <col min="31" max="38" width="2.44140625" customWidth="1"/>
    <col min="39" max="39" width="2.44140625" bestFit="1" customWidth="1"/>
    <col min="40" max="41" width="2.44140625" customWidth="1"/>
    <col min="42" max="42" width="2.44140625" bestFit="1" customWidth="1"/>
    <col min="43" max="50" width="2.44140625" customWidth="1"/>
    <col min="51" max="51" width="2.44140625" bestFit="1" customWidth="1"/>
    <col min="52" max="53" width="2.44140625" customWidth="1"/>
    <col min="54" max="54" width="2.44140625" bestFit="1" customWidth="1"/>
    <col min="55" max="62" width="2.44140625" customWidth="1"/>
    <col min="63" max="63" width="2.44140625" bestFit="1" customWidth="1"/>
    <col min="64" max="65" width="2.44140625" customWidth="1"/>
    <col min="66" max="66" width="2.44140625" bestFit="1" customWidth="1"/>
    <col min="67" max="74" width="2.44140625" customWidth="1"/>
    <col min="75" max="75" width="2.44140625" bestFit="1" customWidth="1"/>
    <col min="76" max="221" width="2.44140625" customWidth="1"/>
  </cols>
  <sheetData>
    <row r="2" spans="1:221" x14ac:dyDescent="0.3">
      <c r="A2" s="2"/>
      <c r="B2" s="2"/>
      <c r="C2" s="30" t="s">
        <v>78</v>
      </c>
      <c r="D2" s="13">
        <v>37</v>
      </c>
      <c r="E2" s="2"/>
      <c r="F2" s="57">
        <v>2009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58">
        <v>2010</v>
      </c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7">
        <v>2011</v>
      </c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49">
        <v>2012</v>
      </c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50">
        <v>2013</v>
      </c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7">
        <v>2014</v>
      </c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43">
        <v>2015</v>
      </c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45">
        <v>2016</v>
      </c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46">
        <v>2017</v>
      </c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51">
        <v>2018</v>
      </c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52">
        <v>2019</v>
      </c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53">
        <v>2020</v>
      </c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54">
        <v>2021</v>
      </c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55">
        <v>2022</v>
      </c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56">
        <v>2023</v>
      </c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40">
        <v>2024</v>
      </c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48">
        <v>2025</v>
      </c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5">
        <v>2026</v>
      </c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</row>
    <row r="3" spans="1:221" x14ac:dyDescent="0.3">
      <c r="A3" s="2"/>
      <c r="B3" s="2"/>
      <c r="C3" s="2"/>
      <c r="D3" s="2"/>
      <c r="E3" s="2"/>
      <c r="F3" s="26">
        <v>1</v>
      </c>
      <c r="G3" s="2">
        <v>2</v>
      </c>
      <c r="H3" s="2">
        <v>3</v>
      </c>
      <c r="I3" s="2">
        <v>4</v>
      </c>
      <c r="J3" s="2">
        <v>5</v>
      </c>
      <c r="K3" s="2">
        <v>6</v>
      </c>
      <c r="L3" s="2">
        <v>7</v>
      </c>
      <c r="M3" s="2">
        <v>8</v>
      </c>
      <c r="N3" s="2">
        <v>9</v>
      </c>
      <c r="O3" s="2">
        <v>10</v>
      </c>
      <c r="P3" s="2">
        <v>11</v>
      </c>
      <c r="Q3" s="2">
        <v>12</v>
      </c>
      <c r="R3" s="2">
        <v>1</v>
      </c>
      <c r="S3" s="2">
        <v>2</v>
      </c>
      <c r="T3" s="2">
        <v>3</v>
      </c>
      <c r="U3" s="2">
        <v>4</v>
      </c>
      <c r="V3" s="2">
        <v>5</v>
      </c>
      <c r="W3" s="2">
        <v>6</v>
      </c>
      <c r="X3" s="2">
        <v>7</v>
      </c>
      <c r="Y3" s="2">
        <v>8</v>
      </c>
      <c r="Z3" s="2">
        <v>9</v>
      </c>
      <c r="AA3" s="2">
        <v>10</v>
      </c>
      <c r="AB3" s="2">
        <v>11</v>
      </c>
      <c r="AC3" s="2">
        <v>12</v>
      </c>
      <c r="AD3" s="2">
        <v>1</v>
      </c>
      <c r="AE3" s="2">
        <v>2</v>
      </c>
      <c r="AF3" s="2">
        <v>3</v>
      </c>
      <c r="AG3" s="2">
        <v>4</v>
      </c>
      <c r="AH3" s="2">
        <v>5</v>
      </c>
      <c r="AI3" s="2">
        <v>6</v>
      </c>
      <c r="AJ3" s="2">
        <v>7</v>
      </c>
      <c r="AK3" s="2">
        <v>8</v>
      </c>
      <c r="AL3" s="2">
        <v>9</v>
      </c>
      <c r="AM3" s="2">
        <v>10</v>
      </c>
      <c r="AN3" s="2">
        <v>11</v>
      </c>
      <c r="AO3" s="2">
        <v>12</v>
      </c>
      <c r="AP3" s="2">
        <v>1</v>
      </c>
      <c r="AQ3" s="2">
        <v>2</v>
      </c>
      <c r="AR3" s="2">
        <v>3</v>
      </c>
      <c r="AS3" s="2">
        <v>4</v>
      </c>
      <c r="AT3" s="2">
        <v>5</v>
      </c>
      <c r="AU3" s="2">
        <v>6</v>
      </c>
      <c r="AV3" s="2">
        <v>7</v>
      </c>
      <c r="AW3" s="2">
        <v>8</v>
      </c>
      <c r="AX3" s="2">
        <v>9</v>
      </c>
      <c r="AY3" s="2">
        <v>10</v>
      </c>
      <c r="AZ3" s="2">
        <v>11</v>
      </c>
      <c r="BA3" s="2">
        <v>12</v>
      </c>
      <c r="BB3" s="2">
        <v>1</v>
      </c>
      <c r="BC3" s="2">
        <v>2</v>
      </c>
      <c r="BD3" s="2">
        <v>3</v>
      </c>
      <c r="BE3" s="2">
        <v>4</v>
      </c>
      <c r="BF3" s="2">
        <v>5</v>
      </c>
      <c r="BG3" s="2">
        <v>6</v>
      </c>
      <c r="BH3" s="2">
        <v>7</v>
      </c>
      <c r="BI3" s="2">
        <v>8</v>
      </c>
      <c r="BJ3" s="2">
        <v>9</v>
      </c>
      <c r="BK3" s="2">
        <v>10</v>
      </c>
      <c r="BL3" s="2">
        <v>11</v>
      </c>
      <c r="BM3" s="2">
        <v>12</v>
      </c>
      <c r="BN3" s="2">
        <v>1</v>
      </c>
      <c r="BO3" s="2">
        <v>2</v>
      </c>
      <c r="BP3" s="2">
        <v>3</v>
      </c>
      <c r="BQ3" s="2">
        <v>4</v>
      </c>
      <c r="BR3" s="2">
        <v>5</v>
      </c>
      <c r="BS3" s="2">
        <v>6</v>
      </c>
      <c r="BT3" s="2">
        <v>7</v>
      </c>
      <c r="BU3" s="2">
        <v>8</v>
      </c>
      <c r="BV3" s="2">
        <v>9</v>
      </c>
      <c r="BW3" s="2">
        <v>10</v>
      </c>
      <c r="BX3" s="2">
        <v>11</v>
      </c>
      <c r="BY3" s="2">
        <v>12</v>
      </c>
      <c r="BZ3" s="2">
        <v>1</v>
      </c>
      <c r="CA3" s="2">
        <v>2</v>
      </c>
      <c r="CB3" s="2">
        <v>3</v>
      </c>
      <c r="CC3" s="2">
        <v>4</v>
      </c>
      <c r="CD3" s="2">
        <v>5</v>
      </c>
      <c r="CE3" s="2">
        <v>6</v>
      </c>
      <c r="CF3" s="2">
        <v>7</v>
      </c>
      <c r="CG3" s="2">
        <v>8</v>
      </c>
      <c r="CH3" s="2">
        <v>9</v>
      </c>
      <c r="CI3" s="2">
        <v>10</v>
      </c>
      <c r="CJ3" s="2">
        <v>11</v>
      </c>
      <c r="CK3" s="2">
        <v>12</v>
      </c>
      <c r="CL3" s="2">
        <v>1</v>
      </c>
      <c r="CM3" s="2">
        <v>2</v>
      </c>
      <c r="CN3" s="2">
        <v>3</v>
      </c>
      <c r="CO3" s="2">
        <v>4</v>
      </c>
      <c r="CP3" s="2">
        <v>5</v>
      </c>
      <c r="CQ3" s="2">
        <v>6</v>
      </c>
      <c r="CR3" s="2">
        <v>7</v>
      </c>
      <c r="CS3" s="2">
        <v>8</v>
      </c>
      <c r="CT3" s="2">
        <v>9</v>
      </c>
      <c r="CU3" s="2">
        <v>10</v>
      </c>
      <c r="CV3" s="2">
        <v>11</v>
      </c>
      <c r="CW3" s="2">
        <v>12</v>
      </c>
      <c r="CX3" s="2">
        <v>1</v>
      </c>
      <c r="CY3" s="2">
        <v>2</v>
      </c>
      <c r="CZ3" s="2">
        <v>3</v>
      </c>
      <c r="DA3" s="2">
        <v>4</v>
      </c>
      <c r="DB3" s="2">
        <v>5</v>
      </c>
      <c r="DC3" s="2">
        <v>6</v>
      </c>
      <c r="DD3" s="2">
        <v>7</v>
      </c>
      <c r="DE3" s="2">
        <v>8</v>
      </c>
      <c r="DF3" s="2">
        <v>9</v>
      </c>
      <c r="DG3" s="2">
        <v>10</v>
      </c>
      <c r="DH3" s="2">
        <v>11</v>
      </c>
      <c r="DI3" s="2">
        <v>12</v>
      </c>
      <c r="DJ3" s="2">
        <v>1</v>
      </c>
      <c r="DK3" s="2">
        <v>2</v>
      </c>
      <c r="DL3" s="2">
        <v>3</v>
      </c>
      <c r="DM3" s="2">
        <v>4</v>
      </c>
      <c r="DN3" s="2">
        <v>5</v>
      </c>
      <c r="DO3" s="2">
        <v>6</v>
      </c>
      <c r="DP3" s="2">
        <v>7</v>
      </c>
      <c r="DQ3" s="2">
        <v>8</v>
      </c>
      <c r="DR3" s="2">
        <v>9</v>
      </c>
      <c r="DS3" s="2">
        <v>10</v>
      </c>
      <c r="DT3" s="2">
        <v>11</v>
      </c>
      <c r="DU3" s="2">
        <v>12</v>
      </c>
      <c r="DV3" s="2">
        <v>1</v>
      </c>
      <c r="DW3" s="2">
        <v>2</v>
      </c>
      <c r="DX3" s="2">
        <v>3</v>
      </c>
      <c r="DY3" s="2">
        <v>4</v>
      </c>
      <c r="DZ3" s="2">
        <v>5</v>
      </c>
      <c r="EA3" s="2">
        <v>6</v>
      </c>
      <c r="EB3" s="2">
        <v>7</v>
      </c>
      <c r="EC3" s="2">
        <v>8</v>
      </c>
      <c r="ED3" s="2">
        <v>9</v>
      </c>
      <c r="EE3" s="2">
        <v>10</v>
      </c>
      <c r="EF3" s="2">
        <v>11</v>
      </c>
      <c r="EG3" s="2">
        <v>12</v>
      </c>
      <c r="EH3" s="2">
        <v>1</v>
      </c>
      <c r="EI3" s="2">
        <v>2</v>
      </c>
      <c r="EJ3" s="2">
        <v>3</v>
      </c>
      <c r="EK3" s="2">
        <v>4</v>
      </c>
      <c r="EL3" s="2">
        <v>5</v>
      </c>
      <c r="EM3" s="2">
        <v>6</v>
      </c>
      <c r="EN3" s="2">
        <v>7</v>
      </c>
      <c r="EO3" s="2">
        <v>8</v>
      </c>
      <c r="EP3" s="2">
        <v>9</v>
      </c>
      <c r="EQ3" s="2">
        <v>10</v>
      </c>
      <c r="ER3" s="2">
        <v>11</v>
      </c>
      <c r="ES3" s="2">
        <v>12</v>
      </c>
      <c r="ET3" s="2">
        <v>1</v>
      </c>
      <c r="EU3" s="2">
        <v>2</v>
      </c>
      <c r="EV3" s="2">
        <v>3</v>
      </c>
      <c r="EW3" s="2">
        <v>4</v>
      </c>
      <c r="EX3" s="2">
        <v>5</v>
      </c>
      <c r="EY3" s="2">
        <v>6</v>
      </c>
      <c r="EZ3" s="2">
        <v>7</v>
      </c>
      <c r="FA3" s="2">
        <v>8</v>
      </c>
      <c r="FB3" s="2">
        <v>9</v>
      </c>
      <c r="FC3" s="2">
        <v>10</v>
      </c>
      <c r="FD3" s="2">
        <v>11</v>
      </c>
      <c r="FE3" s="2">
        <v>12</v>
      </c>
      <c r="FF3" s="2">
        <v>1</v>
      </c>
      <c r="FG3" s="2">
        <v>2</v>
      </c>
      <c r="FH3" s="2">
        <v>3</v>
      </c>
      <c r="FI3" s="2">
        <v>4</v>
      </c>
      <c r="FJ3" s="2">
        <v>5</v>
      </c>
      <c r="FK3" s="2">
        <v>6</v>
      </c>
      <c r="FL3" s="2">
        <v>7</v>
      </c>
      <c r="FM3" s="2">
        <v>8</v>
      </c>
      <c r="FN3" s="2">
        <v>9</v>
      </c>
      <c r="FO3" s="2">
        <v>10</v>
      </c>
      <c r="FP3" s="2">
        <v>11</v>
      </c>
      <c r="FQ3" s="2">
        <v>12</v>
      </c>
      <c r="FR3" s="2">
        <v>1</v>
      </c>
      <c r="FS3" s="2">
        <v>2</v>
      </c>
      <c r="FT3" s="2">
        <v>3</v>
      </c>
      <c r="FU3" s="2">
        <v>4</v>
      </c>
      <c r="FV3" s="2">
        <v>5</v>
      </c>
      <c r="FW3" s="2">
        <v>6</v>
      </c>
      <c r="FX3" s="2">
        <v>7</v>
      </c>
      <c r="FY3" s="2">
        <v>8</v>
      </c>
      <c r="FZ3" s="2">
        <v>9</v>
      </c>
      <c r="GA3" s="2">
        <v>10</v>
      </c>
      <c r="GB3" s="2">
        <v>11</v>
      </c>
      <c r="GC3" s="2">
        <v>12</v>
      </c>
      <c r="GD3" s="2">
        <v>1</v>
      </c>
      <c r="GE3" s="2">
        <v>2</v>
      </c>
      <c r="GF3" s="2">
        <v>3</v>
      </c>
      <c r="GG3" s="2">
        <v>4</v>
      </c>
      <c r="GH3" s="2">
        <v>5</v>
      </c>
      <c r="GI3" s="2">
        <v>6</v>
      </c>
      <c r="GJ3" s="2">
        <v>7</v>
      </c>
      <c r="GK3" s="2">
        <v>8</v>
      </c>
      <c r="GL3" s="2">
        <v>9</v>
      </c>
      <c r="GM3" s="2">
        <v>10</v>
      </c>
      <c r="GN3" s="2">
        <v>11</v>
      </c>
      <c r="GO3" s="2">
        <v>12</v>
      </c>
      <c r="GP3" s="2">
        <v>1</v>
      </c>
      <c r="GQ3" s="2">
        <v>2</v>
      </c>
      <c r="GR3" s="2">
        <v>3</v>
      </c>
      <c r="GS3" s="2">
        <v>4</v>
      </c>
      <c r="GT3" s="2">
        <v>5</v>
      </c>
      <c r="GU3" s="2">
        <v>6</v>
      </c>
      <c r="GV3" s="2">
        <v>7</v>
      </c>
      <c r="GW3" s="2">
        <v>8</v>
      </c>
      <c r="GX3" s="2">
        <v>9</v>
      </c>
      <c r="GY3" s="2">
        <v>10</v>
      </c>
      <c r="GZ3" s="2">
        <v>11</v>
      </c>
      <c r="HA3" s="2">
        <v>12</v>
      </c>
      <c r="HB3" s="2">
        <v>1</v>
      </c>
      <c r="HC3" s="2">
        <v>2</v>
      </c>
      <c r="HD3" s="2">
        <v>3</v>
      </c>
      <c r="HE3" s="2">
        <v>4</v>
      </c>
      <c r="HF3" s="2">
        <v>5</v>
      </c>
      <c r="HG3" s="2">
        <v>6</v>
      </c>
      <c r="HH3" s="2">
        <v>7</v>
      </c>
      <c r="HI3" s="2">
        <v>8</v>
      </c>
      <c r="HJ3" s="2">
        <v>9</v>
      </c>
      <c r="HK3" s="2">
        <v>10</v>
      </c>
      <c r="HL3" s="2">
        <v>11</v>
      </c>
      <c r="HM3" s="2">
        <v>12</v>
      </c>
    </row>
    <row r="4" spans="1:221" x14ac:dyDescent="0.3">
      <c r="A4" s="2"/>
      <c r="B4" s="2"/>
      <c r="C4" s="17"/>
      <c r="D4" s="17"/>
      <c r="E4" s="2"/>
      <c r="F4" s="2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</row>
    <row r="5" spans="1:221" x14ac:dyDescent="0.3">
      <c r="A5" s="31" t="s">
        <v>0</v>
      </c>
      <c r="B5" s="31" t="s">
        <v>81</v>
      </c>
      <c r="C5" s="32" t="s">
        <v>79</v>
      </c>
      <c r="D5" s="33" t="s">
        <v>82</v>
      </c>
      <c r="E5" s="34" t="s">
        <v>80</v>
      </c>
      <c r="F5" s="38">
        <v>10</v>
      </c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8">
        <v>6</v>
      </c>
      <c r="S5" s="41"/>
      <c r="T5" s="41"/>
      <c r="U5" s="41"/>
      <c r="V5" s="41"/>
      <c r="W5" s="41"/>
      <c r="X5" s="41"/>
      <c r="Y5" s="41"/>
      <c r="Z5" s="41"/>
      <c r="AA5" s="41"/>
      <c r="AB5" s="41"/>
      <c r="AC5" s="42"/>
      <c r="AD5" s="44">
        <v>11</v>
      </c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2"/>
      <c r="AP5" s="38">
        <v>3</v>
      </c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2"/>
      <c r="BB5" s="38">
        <v>7</v>
      </c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2"/>
      <c r="BN5" s="44">
        <v>11</v>
      </c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2"/>
      <c r="BZ5" s="38">
        <v>5</v>
      </c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8">
        <v>2</v>
      </c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44">
        <v>11</v>
      </c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8">
        <v>10</v>
      </c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8">
        <v>8</v>
      </c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8">
        <v>10</v>
      </c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8">
        <v>7</v>
      </c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8">
        <v>9</v>
      </c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8">
        <v>2</v>
      </c>
      <c r="FS5" s="39"/>
      <c r="FT5" s="39"/>
      <c r="FU5" s="39"/>
      <c r="FV5" s="39"/>
      <c r="FW5" s="39"/>
      <c r="FX5" s="39"/>
      <c r="FY5" s="39"/>
      <c r="FZ5" s="39"/>
      <c r="GA5" s="39"/>
      <c r="GB5" s="39"/>
      <c r="GC5" s="39"/>
      <c r="GD5" s="38">
        <v>5</v>
      </c>
      <c r="GE5" s="39"/>
      <c r="GF5" s="39"/>
      <c r="GG5" s="39"/>
      <c r="GH5" s="39"/>
      <c r="GI5" s="39"/>
      <c r="GJ5" s="39"/>
      <c r="GK5" s="39"/>
      <c r="GL5" s="39"/>
      <c r="GM5" s="39"/>
      <c r="GN5" s="39"/>
      <c r="GO5" s="39"/>
      <c r="GP5" s="47">
        <v>0</v>
      </c>
      <c r="GQ5" s="39"/>
      <c r="GR5" s="39"/>
      <c r="GS5" s="39"/>
      <c r="GT5" s="39"/>
      <c r="GU5" s="39"/>
      <c r="GV5" s="39"/>
      <c r="GW5" s="39"/>
      <c r="GX5" s="39"/>
      <c r="GY5" s="39"/>
      <c r="GZ5" s="39"/>
      <c r="HA5" s="39"/>
      <c r="HB5" s="47">
        <v>0</v>
      </c>
      <c r="HC5" s="39"/>
      <c r="HD5" s="39"/>
      <c r="HE5" s="39"/>
      <c r="HF5" s="39"/>
      <c r="HG5" s="39"/>
      <c r="HH5" s="39"/>
      <c r="HI5" s="39"/>
      <c r="HJ5" s="39"/>
      <c r="HK5" s="39"/>
      <c r="HL5" s="39"/>
      <c r="HM5" s="39"/>
    </row>
    <row r="6" spans="1:221" x14ac:dyDescent="0.3">
      <c r="A6" s="2">
        <f>MATCH(C6,CV!$C$2:$C$39,0)</f>
        <v>5</v>
      </c>
      <c r="B6" s="2" t="str">
        <f>VLOOKUP(A6,CV!$A$2:$B$1899,2,FALSE)</f>
        <v>Εγκατάσταση παραμετροποίηση και παροχή υπηρεσιών υποστήριξης virtualization Υπουργείου Δικαιοσύνης Storage Qnap</v>
      </c>
      <c r="C6" s="14" t="s">
        <v>11</v>
      </c>
      <c r="D6" s="15">
        <v>1</v>
      </c>
      <c r="E6" s="2">
        <f>COUNTIF(F6:ATU6,E5)</f>
        <v>1</v>
      </c>
      <c r="F6" s="26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16"/>
      <c r="BS6" s="16" t="s">
        <v>80</v>
      </c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</row>
    <row r="7" spans="1:221" x14ac:dyDescent="0.3">
      <c r="A7" s="2">
        <f>MATCH(C7,CV!$C$2:$C$39,0)</f>
        <v>30</v>
      </c>
      <c r="B7" s="2" t="str">
        <f>VLOOKUP(A7,CV!$A$2:$B$1899,2,FALSE)</f>
        <v>Αναβάθμιση/Μετάπτωση κεντρικής υποδομής ΕΜΥ - Storage</v>
      </c>
      <c r="C7" s="14" t="s">
        <v>60</v>
      </c>
      <c r="D7" s="15">
        <v>1</v>
      </c>
      <c r="E7" s="2">
        <f t="shared" ref="E6:E43" si="0">COUNTIF(F7:ATU7,$E$5)</f>
        <v>1</v>
      </c>
      <c r="F7" s="2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16"/>
      <c r="FF7" s="16" t="s">
        <v>80</v>
      </c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</row>
    <row r="8" spans="1:221" x14ac:dyDescent="0.3">
      <c r="A8" s="2">
        <f>MATCH(C8,CV!$C$2:$C$39,0)</f>
        <v>4</v>
      </c>
      <c r="B8" s="2" t="str">
        <f>VLOOKUP(A8,CV!$A$2:$B$1899,2,FALSE)</f>
        <v>Εγκατάσταση παραμετροποίηση και παροχή υπηρεσιών υποστήριξης περιβάλλοντος Εισαγγελίας Αθηνών Storage Dell</v>
      </c>
      <c r="C8" s="14" t="s">
        <v>9</v>
      </c>
      <c r="D8" s="15">
        <v>2</v>
      </c>
      <c r="E8" s="2">
        <f t="shared" si="0"/>
        <v>2</v>
      </c>
      <c r="F8" s="2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16"/>
      <c r="BQ8" s="16" t="s">
        <v>80</v>
      </c>
      <c r="BR8" s="16" t="s">
        <v>80</v>
      </c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</row>
    <row r="9" spans="1:221" x14ac:dyDescent="0.3">
      <c r="A9" s="2">
        <f>MATCH(C9,CV!$C$2:$C$39,0)</f>
        <v>6</v>
      </c>
      <c r="B9" s="2" t="str">
        <f>VLOOKUP(A9,CV!$A$2:$B$1899,2,FALSE)</f>
        <v>Εγκατάσταση – παραμετροποίηση και παροχή υπηρεσιών υποστήριξης εικονικού περιβάλλοντος λειτουργίας των εφαρμογών του Παρατηρητηρίου. Storage Dell</v>
      </c>
      <c r="C9" s="14" t="s">
        <v>13</v>
      </c>
      <c r="D9" s="15">
        <v>2</v>
      </c>
      <c r="E9" s="2">
        <f t="shared" si="0"/>
        <v>2</v>
      </c>
      <c r="F9" s="2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16"/>
      <c r="BX9" s="16" t="s">
        <v>80</v>
      </c>
      <c r="BY9" s="16" t="s">
        <v>80</v>
      </c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</row>
    <row r="10" spans="1:221" x14ac:dyDescent="0.3">
      <c r="A10" s="2">
        <f>MATCH(C10,CV!$C$2:$C$39,0)</f>
        <v>27</v>
      </c>
      <c r="B10" s="2" t="str">
        <f>VLOOKUP(A10,CV!$A$2:$B$1899,2,FALSE)</f>
        <v>Αναβάθμιση και μετάπτωση της κεντρικής υποδομής της ηλεκτρονικής VISA - Storage</v>
      </c>
      <c r="C10" s="14" t="s">
        <v>54</v>
      </c>
      <c r="D10" s="15">
        <v>2</v>
      </c>
      <c r="E10" s="2">
        <f t="shared" si="0"/>
        <v>2</v>
      </c>
      <c r="F10" s="2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16"/>
      <c r="FC10" s="16" t="s">
        <v>80</v>
      </c>
      <c r="FD10" s="16" t="s">
        <v>80</v>
      </c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</row>
    <row r="11" spans="1:221" x14ac:dyDescent="0.3">
      <c r="A11" s="2">
        <f>MATCH(C11,CV!$C$2:$C$39,0)</f>
        <v>36</v>
      </c>
      <c r="B11" s="2" t="str">
        <f>VLOOKUP(A11,CV!$A$2:$B$1899,2,FALSE)</f>
        <v>Μετάπτωση εφαρμογών σε νέο storage</v>
      </c>
      <c r="C11" s="14" t="s">
        <v>72</v>
      </c>
      <c r="D11" s="15">
        <v>2</v>
      </c>
      <c r="E11" s="2">
        <f t="shared" si="0"/>
        <v>2</v>
      </c>
      <c r="F11" s="26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16" t="s">
        <v>80</v>
      </c>
      <c r="GD11" s="16" t="s">
        <v>80</v>
      </c>
      <c r="GE11" s="16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</row>
    <row r="12" spans="1:221" x14ac:dyDescent="0.3">
      <c r="A12" s="2">
        <f>MATCH(C12,CV!$C$2:$C$39,0)</f>
        <v>8</v>
      </c>
      <c r="B12" s="2" t="str">
        <f>VLOOKUP(A12,CV!$A$2:$B$1899,2,FALSE)</f>
        <v>Εγκατάσταση και παραμετροποίηση και παροχή υπηρεσιών υποστήριξης ΙΤ εξοπλισμού, σε επίπεδο servers και τοπικών υπηρεσιών ανά τις πρεσβείες Storage HP</v>
      </c>
      <c r="C12" s="14" t="s">
        <v>17</v>
      </c>
      <c r="D12" s="15">
        <v>3</v>
      </c>
      <c r="E12" s="2">
        <f t="shared" si="0"/>
        <v>3</v>
      </c>
      <c r="F12" s="2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16"/>
      <c r="AH12" s="16" t="s">
        <v>80</v>
      </c>
      <c r="AI12" s="16" t="s">
        <v>80</v>
      </c>
      <c r="AJ12" s="16" t="s">
        <v>80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</row>
    <row r="13" spans="1:221" x14ac:dyDescent="0.3">
      <c r="A13" s="2">
        <f>MATCH(C13,CV!$C$2:$C$39,0)</f>
        <v>1</v>
      </c>
      <c r="B13" s="2" t="str">
        <f>VLOOKUP(A13,CV!$A$2:$B$1899,2,FALSE)</f>
        <v>Εγκατάσταση, παραμετροποίηση και παροχή υπηρεσιών υποστήριξης Blade IBM Server, με IBM Storage για την πλήρη εικονοποίηση όλων των φυσικών servers του λιμενικού σώματος σε virtual περιβάλλον</v>
      </c>
      <c r="C13" s="14" t="s">
        <v>3</v>
      </c>
      <c r="D13" s="15">
        <v>6</v>
      </c>
      <c r="E13" s="2">
        <f t="shared" si="0"/>
        <v>6</v>
      </c>
      <c r="F13" s="2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16" t="s">
        <v>80</v>
      </c>
      <c r="BH13" s="16" t="s">
        <v>80</v>
      </c>
      <c r="BI13" s="16" t="s">
        <v>80</v>
      </c>
      <c r="BJ13" s="16" t="s">
        <v>80</v>
      </c>
      <c r="BK13" s="16" t="s">
        <v>80</v>
      </c>
      <c r="BL13" s="16" t="s">
        <v>80</v>
      </c>
      <c r="BM13" s="16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</row>
    <row r="14" spans="1:221" x14ac:dyDescent="0.3">
      <c r="A14" s="2">
        <f>MATCH(C14,CV!$C$2:$C$39,0)</f>
        <v>14</v>
      </c>
      <c r="B14" s="2" t="str">
        <f>VLOOKUP(A14,CV!$A$2:$B$1899,2,FALSE)</f>
        <v>Εγκατάσταση/Παραμετροποίηση/Υποστήριξ  η συστήματος Big Data Analyzing - Storage</v>
      </c>
      <c r="C14" s="14" t="s">
        <v>28</v>
      </c>
      <c r="D14" s="15">
        <v>4</v>
      </c>
      <c r="E14" s="2">
        <f t="shared" si="0"/>
        <v>4</v>
      </c>
      <c r="F14" s="2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16"/>
      <c r="BY14" s="16"/>
      <c r="BZ14" s="16" t="s">
        <v>80</v>
      </c>
      <c r="CA14" s="16" t="s">
        <v>80</v>
      </c>
      <c r="CB14" s="16" t="s">
        <v>80</v>
      </c>
      <c r="CC14" s="16" t="s">
        <v>80</v>
      </c>
      <c r="CD14" s="16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</row>
    <row r="15" spans="1:221" x14ac:dyDescent="0.3">
      <c r="A15" s="2">
        <f>MATCH(C15,CV!$C$2:$C$39,0)</f>
        <v>12</v>
      </c>
      <c r="B15" s="2" t="str">
        <f>VLOOKUP(A15,CV!$A$2:$B$1899,2,FALSE)</f>
        <v>Εγκατάσταση παραμετροποίηση και παροχή υπηρεσιών υποστήριξης Storage Dell</v>
      </c>
      <c r="C15" s="14" t="s">
        <v>24</v>
      </c>
      <c r="D15" s="15">
        <v>5</v>
      </c>
      <c r="E15" s="2">
        <f t="shared" si="0"/>
        <v>5</v>
      </c>
      <c r="F15" s="2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16" t="s">
        <v>80</v>
      </c>
      <c r="BO15" s="16"/>
      <c r="BP15" s="16"/>
      <c r="BQ15" s="16"/>
      <c r="BR15" s="16"/>
      <c r="BS15" s="16"/>
      <c r="BT15" s="16" t="s">
        <v>80</v>
      </c>
      <c r="BU15" s="16" t="s">
        <v>80</v>
      </c>
      <c r="BV15" s="16" t="s">
        <v>80</v>
      </c>
      <c r="BW15" s="16" t="s">
        <v>80</v>
      </c>
      <c r="BX15" s="16"/>
      <c r="BY15" s="16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</row>
    <row r="16" spans="1:221" x14ac:dyDescent="0.3">
      <c r="A16" s="2">
        <f>MATCH(C16,CV!$C$2:$C$39,0)</f>
        <v>9</v>
      </c>
      <c r="B16" s="2" t="str">
        <f>VLOOKUP(A16,CV!$A$2:$B$1899,2,FALSE)</f>
        <v>Ανάπτυξη και εγκατάσταση λογισμικών και εξοπλισμού τους. Υποστήριξη συνολικού δικτύου ( servers, clients, software). Storage IBM</v>
      </c>
      <c r="C16" s="14" t="s">
        <v>19</v>
      </c>
      <c r="D16" s="15">
        <v>9</v>
      </c>
      <c r="E16" s="2">
        <f t="shared" si="0"/>
        <v>9</v>
      </c>
      <c r="F16" s="2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6" t="s">
        <v>80</v>
      </c>
      <c r="Y16" s="16" t="s">
        <v>80</v>
      </c>
      <c r="Z16" s="16" t="s">
        <v>80</v>
      </c>
      <c r="AA16" s="16" t="s">
        <v>80</v>
      </c>
      <c r="AB16" s="16" t="s">
        <v>80</v>
      </c>
      <c r="AC16" s="16" t="s">
        <v>80</v>
      </c>
      <c r="AD16" s="16"/>
      <c r="AE16" s="16" t="s">
        <v>80</v>
      </c>
      <c r="AF16" s="16"/>
      <c r="AG16" s="16"/>
      <c r="AH16" s="16"/>
      <c r="AI16" s="16"/>
      <c r="AJ16" s="16"/>
      <c r="AK16" s="16" t="s">
        <v>80</v>
      </c>
      <c r="AL16" s="16" t="s">
        <v>80</v>
      </c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</row>
    <row r="17" spans="1:221" x14ac:dyDescent="0.3">
      <c r="A17" s="2">
        <f>MATCH(C17,CV!$C$2:$C$39,0)</f>
        <v>2</v>
      </c>
      <c r="B17" s="2" t="str">
        <f>VLOOKUP(A17,CV!$A$2:$B$1899,2,FALSE)</f>
        <v>Εγκατάσταση παραμετροποίηση και παροχή υπηρεσιών υποστήριξης όλων των υπηρεσιών της Hellas Gold</v>
      </c>
      <c r="C17" s="17" t="s">
        <v>5</v>
      </c>
      <c r="D17" s="15">
        <v>1</v>
      </c>
      <c r="E17" s="2">
        <f t="shared" si="0"/>
        <v>1</v>
      </c>
      <c r="F17" s="2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16" t="s">
        <v>80</v>
      </c>
      <c r="BF17" s="16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</row>
    <row r="18" spans="1:221" x14ac:dyDescent="0.3">
      <c r="A18" s="2">
        <f>MATCH(C18,CV!$C$2:$C$39,0)</f>
        <v>3</v>
      </c>
      <c r="B18" s="2" t="str">
        <f>VLOOKUP(A18,CV!$A$2:$B$1899,2,FALSE)</f>
        <v>Εγκατάσταση – παραμετροποίηση και παροχή υπηρεσιών υποστήριξης backup SW και παραμετροποίηση – βελτιστοποίηση mail server υπουργείου</v>
      </c>
      <c r="C18" s="2" t="s">
        <v>7</v>
      </c>
      <c r="D18" s="18">
        <v>2</v>
      </c>
      <c r="E18" s="2">
        <f t="shared" si="0"/>
        <v>1</v>
      </c>
      <c r="F18" s="2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16" t="s">
        <v>80</v>
      </c>
      <c r="BP18" s="16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</row>
    <row r="19" spans="1:221" x14ac:dyDescent="0.3">
      <c r="A19" s="2">
        <f>MATCH(C19,CV!$C$2:$C$39,0)</f>
        <v>13</v>
      </c>
      <c r="B19" s="2" t="str">
        <f>VLOOKUP(A19,CV!$A$2:$B$1899,2,FALSE)</f>
        <v>Εγκατάσταση παραμετροποίηση και μετάβαση παλαιών λογισμικών Linux RedHat6, σε νέους RedHat Servers</v>
      </c>
      <c r="C19" s="2" t="s">
        <v>26</v>
      </c>
      <c r="D19" s="19">
        <v>1</v>
      </c>
      <c r="E19" s="2">
        <f t="shared" si="0"/>
        <v>1</v>
      </c>
      <c r="F19" s="2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16" t="s">
        <v>80</v>
      </c>
      <c r="CF19" s="16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</row>
    <row r="20" spans="1:221" x14ac:dyDescent="0.3">
      <c r="A20" s="2">
        <f>MATCH(C20,CV!$C$2:$C$39,0)</f>
        <v>16</v>
      </c>
      <c r="B20" s="2" t="str">
        <f>VLOOKUP(A20,CV!$A$2:$B$1899,2,FALSE)</f>
        <v>Ανάπτυξη κώδικα webservice για την φαρμακευτική εταιρεία LEO</v>
      </c>
      <c r="C20" s="2" t="s">
        <v>32</v>
      </c>
      <c r="D20" s="19">
        <v>1</v>
      </c>
      <c r="E20" s="2">
        <f t="shared" si="0"/>
        <v>1</v>
      </c>
      <c r="F20" s="2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16" t="s">
        <v>80</v>
      </c>
      <c r="CQ20" s="16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</row>
    <row r="21" spans="1:221" x14ac:dyDescent="0.3">
      <c r="A21" s="2">
        <f>MATCH(C21,CV!$C$2:$C$39,0)</f>
        <v>18</v>
      </c>
      <c r="B21" s="2" t="str">
        <f>VLOOKUP(A21,CV!$A$2:$B$1899,2,FALSE)</f>
        <v>Αναβάθμιση συστημάτων (Vmware)</v>
      </c>
      <c r="C21" s="2" t="s">
        <v>36</v>
      </c>
      <c r="D21" s="19">
        <v>1</v>
      </c>
      <c r="E21" s="2">
        <f t="shared" si="0"/>
        <v>1</v>
      </c>
      <c r="F21" s="2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16" t="s">
        <v>80</v>
      </c>
      <c r="DB21" s="16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</row>
    <row r="22" spans="1:221" x14ac:dyDescent="0.3">
      <c r="A22" s="2">
        <f>MATCH(C22,CV!$C$2:$C$39,0)</f>
        <v>20</v>
      </c>
      <c r="B22" s="2" t="str">
        <f>VLOOKUP(A22,CV!$A$2:$B$1899,2,FALSE)</f>
        <v>Αναβάθμιση/Υποστήριξη συστημάτων παρακολούθησης δικτύου NMS.</v>
      </c>
      <c r="C22" s="2" t="s">
        <v>40</v>
      </c>
      <c r="D22" s="19">
        <v>1</v>
      </c>
      <c r="E22" s="2">
        <f t="shared" si="0"/>
        <v>1</v>
      </c>
      <c r="F22" s="2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16" t="s">
        <v>80</v>
      </c>
      <c r="DM22" s="16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</row>
    <row r="23" spans="1:221" x14ac:dyDescent="0.3">
      <c r="A23" s="2">
        <f>MATCH(C23,CV!$C$2:$C$39,0)</f>
        <v>21</v>
      </c>
      <c r="B23" s="2" t="str">
        <f>VLOOKUP(A23,CV!$A$2:$B$1899,2,FALSE)</f>
        <v>Εγκατάσταση/Παραμετροποίηση/Υποστήριξ  η Cloud υπηρεσιών στην εταιρεία WebIQ</v>
      </c>
      <c r="C23" s="2" t="s">
        <v>42</v>
      </c>
      <c r="D23" s="19">
        <v>1</v>
      </c>
      <c r="E23" s="2">
        <f t="shared" si="0"/>
        <v>1</v>
      </c>
      <c r="F23" s="2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16" t="s">
        <v>80</v>
      </c>
      <c r="DI23" s="16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</row>
    <row r="24" spans="1:221" x14ac:dyDescent="0.3">
      <c r="A24" s="2">
        <f>MATCH(C24,CV!$C$2:$C$39,0)</f>
        <v>25</v>
      </c>
      <c r="B24" s="2" t="str">
        <f>VLOOKUP(A24,CV!$A$2:$B$1899,2,FALSE)</f>
        <v>Αναβάθμιση συστήματος NMS</v>
      </c>
      <c r="C24" s="2" t="s">
        <v>50</v>
      </c>
      <c r="D24" s="19">
        <v>1</v>
      </c>
      <c r="E24" s="2">
        <f t="shared" si="0"/>
        <v>1</v>
      </c>
      <c r="F24" s="26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16" t="s">
        <v>80</v>
      </c>
      <c r="DZ24" s="16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</row>
    <row r="25" spans="1:221" x14ac:dyDescent="0.3">
      <c r="A25" s="2">
        <f>MATCH(C25,CV!$C$2:$C$39,0)</f>
        <v>29</v>
      </c>
      <c r="B25" s="2" t="str">
        <f>VLOOKUP(A25,CV!$A$2:$B$1899,2,FALSE)</f>
        <v>Εγκατάσταση – Παραμετροποίηση κεντρικής υποδομής ENTRY-EXIT για την ΕΛ.ΑΣ</v>
      </c>
      <c r="C25" s="2" t="s">
        <v>58</v>
      </c>
      <c r="D25" s="19">
        <v>1</v>
      </c>
      <c r="E25" s="2">
        <f t="shared" si="0"/>
        <v>1</v>
      </c>
      <c r="F25" s="26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16"/>
      <c r="FE25" s="16" t="s">
        <v>80</v>
      </c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</row>
    <row r="26" spans="1:221" x14ac:dyDescent="0.3">
      <c r="A26" s="2">
        <f>MATCH(C26,CV!$C$2:$C$39,0)</f>
        <v>33</v>
      </c>
      <c r="B26" s="2" t="str">
        <f>VLOOKUP(A26,CV!$A$2:$B$1899,2,FALSE)</f>
        <v>Αναβάθμιση συστημάτων ΥΠ.ΕΞ</v>
      </c>
      <c r="C26" s="2" t="s">
        <v>66</v>
      </c>
      <c r="D26" s="19">
        <v>1</v>
      </c>
      <c r="E26" s="2">
        <f t="shared" si="0"/>
        <v>1</v>
      </c>
      <c r="F26" s="26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16" t="s">
        <v>80</v>
      </c>
      <c r="FI26" s="16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</row>
    <row r="27" spans="1:221" x14ac:dyDescent="0.3">
      <c r="A27" s="2">
        <f>MATCH(C27,CV!$C$2:$C$39,0)</f>
        <v>34</v>
      </c>
      <c r="B27" s="2" t="str">
        <f>VLOOKUP(A27,CV!$A$2:$B$1899,2,FALSE)</f>
        <v>Εγκατάσταση – παραμετροποίηση και παροχή υπηρεσιών υποστήριξης Vmware VDI υποδομής στο ΕΑΠ</v>
      </c>
      <c r="C27" s="2" t="s">
        <v>68</v>
      </c>
      <c r="D27" s="19">
        <v>1</v>
      </c>
      <c r="E27" s="2">
        <f t="shared" si="0"/>
        <v>1</v>
      </c>
      <c r="F27" s="26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16" t="s">
        <v>80</v>
      </c>
      <c r="FL27" s="16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</row>
    <row r="28" spans="1:221" x14ac:dyDescent="0.3">
      <c r="A28" s="2">
        <f>MATCH(C28,CV!$C$2:$C$39,0)</f>
        <v>35</v>
      </c>
      <c r="B28" s="2" t="str">
        <f>VLOOKUP(A28,CV!$A$2:$B$1899,2,FALSE)</f>
        <v>Αναβάθμιση virtualized συστημάτων στην Εθνική Επιτροπή Ατομικών Ερευνών</v>
      </c>
      <c r="C28" s="2" t="s">
        <v>70</v>
      </c>
      <c r="D28" s="19">
        <v>1</v>
      </c>
      <c r="E28" s="2">
        <f t="shared" si="0"/>
        <v>1</v>
      </c>
      <c r="F28" s="26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16" t="s">
        <v>80</v>
      </c>
      <c r="FZ28" s="16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</row>
    <row r="29" spans="1:221" x14ac:dyDescent="0.3">
      <c r="A29" s="2">
        <f>MATCH(C29,CV!$C$2:$C$39,0)</f>
        <v>38</v>
      </c>
      <c r="B29" s="2" t="str">
        <f>VLOOKUP(A29,CV!$A$2:$B$1899,2,FALSE)</f>
        <v>Συγγραφή Μελέτης Εφαρμογής</v>
      </c>
      <c r="C29" s="2" t="s">
        <v>76</v>
      </c>
      <c r="D29" s="19">
        <v>1</v>
      </c>
      <c r="E29" s="2">
        <f t="shared" si="0"/>
        <v>1</v>
      </c>
      <c r="F29" s="26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16" t="s">
        <v>80</v>
      </c>
      <c r="GJ29" s="16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</row>
    <row r="30" spans="1:221" x14ac:dyDescent="0.3">
      <c r="A30" s="2">
        <f>MATCH(C30,CV!$C$2:$C$39,0)</f>
        <v>23</v>
      </c>
      <c r="B30" s="2" t="str">
        <f>VLOOKUP(A30,CV!$A$2:$B$1899,2,FALSE)</f>
        <v>Εγκατάσταση/Υποστήριξη messaging system πολιτικής αεροπορίας.</v>
      </c>
      <c r="C30" s="2" t="s">
        <v>46</v>
      </c>
      <c r="D30" s="19">
        <v>2</v>
      </c>
      <c r="E30" s="2">
        <f t="shared" si="0"/>
        <v>2</v>
      </c>
      <c r="F30" s="26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16" t="s">
        <v>80</v>
      </c>
      <c r="DN30" s="16" t="s">
        <v>80</v>
      </c>
      <c r="DO30" s="16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</row>
    <row r="31" spans="1:221" x14ac:dyDescent="0.3">
      <c r="A31" s="2">
        <f>MATCH(C31,CV!$C$2:$C$39,0)</f>
        <v>31</v>
      </c>
      <c r="B31" s="2" t="str">
        <f>VLOOKUP(A31,CV!$A$2:$B$1899,2,FALSE)</f>
        <v>Σχεδιασμός μετάπτωσης υπηρεσίας Azure cloud Mail πολυτεχνείου Κρήτης</v>
      </c>
      <c r="C31" s="2" t="s">
        <v>62</v>
      </c>
      <c r="D31" s="19">
        <v>1</v>
      </c>
      <c r="E31" s="2">
        <f t="shared" si="0"/>
        <v>1</v>
      </c>
      <c r="F31" s="26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16" t="s">
        <v>80</v>
      </c>
      <c r="FC31" s="16"/>
      <c r="FD31" s="16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</row>
    <row r="32" spans="1:221" x14ac:dyDescent="0.3">
      <c r="A32" s="2">
        <f>MATCH(C32,CV!$C$2:$C$39,0)</f>
        <v>7</v>
      </c>
      <c r="B32" s="2" t="str">
        <f>VLOOKUP(A32,CV!$A$2:$B$1899,2,FALSE)</f>
        <v>Εγκατάσταση και παραμετροποίηση και παροχή υπηρεσιών υποστήριξης των λειτουργικών συστημάτων, εγκατάσταση και παραμετροποίηση των servers του συστήματος. Υποστήριξη 2ου επιπέδου</v>
      </c>
      <c r="C32" s="2" t="s">
        <v>15</v>
      </c>
      <c r="D32" s="19">
        <v>3</v>
      </c>
      <c r="E32" s="2">
        <f t="shared" si="0"/>
        <v>3</v>
      </c>
      <c r="F32" s="26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16" t="s">
        <v>80</v>
      </c>
      <c r="AE32" s="16"/>
      <c r="AF32" s="16" t="s">
        <v>80</v>
      </c>
      <c r="AG32" s="16" t="s">
        <v>80</v>
      </c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</row>
    <row r="33" spans="1:221" x14ac:dyDescent="0.3">
      <c r="A33" s="2">
        <f>MATCH(C33,CV!$C$2:$C$39,0)</f>
        <v>15</v>
      </c>
      <c r="B33" s="2" t="str">
        <f>VLOOKUP(A33,CV!$A$2:$B$1899,2,FALSE)</f>
        <v>Σχεδιασμός λύσης, Υλοποίηση, Παραμετροποίηση και συντήρηση- υποστήριξη σύμφωνα με τις ανάγκες της εταιρείας</v>
      </c>
      <c r="C33" s="2" t="s">
        <v>30</v>
      </c>
      <c r="D33" s="19">
        <v>1</v>
      </c>
      <c r="E33" s="2">
        <f t="shared" si="0"/>
        <v>1</v>
      </c>
      <c r="F33" s="26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16" t="s">
        <v>80</v>
      </c>
      <c r="CP33" s="16"/>
      <c r="CQ33" s="16"/>
      <c r="CR33" s="16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</row>
    <row r="34" spans="1:221" x14ac:dyDescent="0.3">
      <c r="A34" s="2">
        <f>MATCH(C34,CV!$C$2:$C$39,0)</f>
        <v>19</v>
      </c>
      <c r="B34" s="2" t="str">
        <f>VLOOKUP(A34,CV!$A$2:$B$1899,2,FALSE)</f>
        <v>Σχεδιασμός, εγκατάσταση, παραμετροποίηση και υποστήριξη υπηρεσίας Video/Game Streaming στο δίκτυο του ΟΠΑΠ</v>
      </c>
      <c r="C34" s="2" t="s">
        <v>38</v>
      </c>
      <c r="D34" s="18">
        <v>3</v>
      </c>
      <c r="E34" s="2">
        <f t="shared" si="0"/>
        <v>2</v>
      </c>
      <c r="F34" s="26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16"/>
      <c r="DN34" s="16"/>
      <c r="DO34" s="16" t="s">
        <v>80</v>
      </c>
      <c r="DP34" s="16" t="s">
        <v>80</v>
      </c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</row>
    <row r="35" spans="1:221" x14ac:dyDescent="0.3">
      <c r="A35" s="2">
        <f>MATCH(C35,CV!$C$2:$C$39,0)</f>
        <v>28</v>
      </c>
      <c r="B35" s="2" t="str">
        <f>VLOOKUP(A35,CV!$A$2:$B$1899,2,FALSE)</f>
        <v>Σχεδίαση/Αναβάθμιση/Υποστήριξη/Μετάπτ ωση Webmail ΕΛ.ΑΣ</v>
      </c>
      <c r="C35" s="2" t="s">
        <v>56</v>
      </c>
      <c r="D35" s="19">
        <v>3</v>
      </c>
      <c r="E35" s="2">
        <f t="shared" si="0"/>
        <v>3</v>
      </c>
      <c r="F35" s="26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16" t="s">
        <v>80</v>
      </c>
      <c r="EW35" s="16" t="s">
        <v>80</v>
      </c>
      <c r="EX35" s="16" t="s">
        <v>80</v>
      </c>
      <c r="EY35" s="16"/>
      <c r="EZ35" s="16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</row>
    <row r="36" spans="1:221" x14ac:dyDescent="0.3">
      <c r="A36" s="2">
        <f>MATCH(C36,CV!$C$2:$C$39,0)</f>
        <v>26</v>
      </c>
      <c r="B36" s="2" t="str">
        <f>VLOOKUP(A36,CV!$A$2:$B$1899,2,FALSE)</f>
        <v>Αναβάθμιση συστημάτων (Vmware) όλου του ομίλου</v>
      </c>
      <c r="C36" s="2" t="s">
        <v>52</v>
      </c>
      <c r="D36" s="19">
        <v>5</v>
      </c>
      <c r="E36" s="2">
        <f t="shared" si="0"/>
        <v>5</v>
      </c>
      <c r="F36" s="26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16" t="s">
        <v>80</v>
      </c>
      <c r="EE36" s="16" t="s">
        <v>80</v>
      </c>
      <c r="EF36" s="16" t="s">
        <v>80</v>
      </c>
      <c r="EG36" s="16" t="s">
        <v>80</v>
      </c>
      <c r="EH36" s="16" t="s">
        <v>80</v>
      </c>
      <c r="EI36" s="16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</row>
    <row r="37" spans="1:221" x14ac:dyDescent="0.3">
      <c r="A37" s="2">
        <f>MATCH(C37,CV!$C$2:$C$39,0)</f>
        <v>32</v>
      </c>
      <c r="B37" s="2" t="str">
        <f>VLOOKUP(A37,CV!$A$2:$B$1899,2,FALSE)</f>
        <v>Εγκατάσταση και παραμετροποίηση Vmware φάρμας για την υποστήριξη των μηχανημάτων του έργου</v>
      </c>
      <c r="C37" s="2" t="s">
        <v>64</v>
      </c>
      <c r="D37" s="19">
        <v>6</v>
      </c>
      <c r="E37" s="2">
        <f t="shared" si="0"/>
        <v>6</v>
      </c>
      <c r="F37" s="26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16" t="s">
        <v>80</v>
      </c>
      <c r="FK37" s="16"/>
      <c r="FL37" s="16" t="s">
        <v>80</v>
      </c>
      <c r="FM37" s="16" t="s">
        <v>80</v>
      </c>
      <c r="FN37" s="16" t="s">
        <v>80</v>
      </c>
      <c r="FO37" s="16" t="s">
        <v>80</v>
      </c>
      <c r="FP37" s="16" t="s">
        <v>80</v>
      </c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</row>
    <row r="38" spans="1:221" x14ac:dyDescent="0.3">
      <c r="A38" s="2">
        <f>MATCH(C38,CV!$C$2:$C$39,0)</f>
        <v>10</v>
      </c>
      <c r="B38" s="2" t="str">
        <f>VLOOKUP(A38,CV!$A$2:$B$1899,2,FALSE)</f>
        <v>Εγκατάσταση/παραμετροποίηση των ραντάρ, εγκατάσταση παραμετροποίηση των λογισμικών, υποστήριξη και επίλυση δυσλειτουργιών σε επίπεδο ραντάρ και λογισμικό αυτών σε επίπεδο 1ο , 2ο και 3ο .</v>
      </c>
      <c r="C38" s="2" t="s">
        <v>21</v>
      </c>
      <c r="D38" s="19">
        <v>5</v>
      </c>
      <c r="E38" s="2">
        <f t="shared" si="0"/>
        <v>5</v>
      </c>
      <c r="F38" s="26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16"/>
      <c r="AK38" s="16"/>
      <c r="AL38" s="16"/>
      <c r="AM38" s="16"/>
      <c r="AN38" s="16" t="s">
        <v>80</v>
      </c>
      <c r="AO38" s="16" t="s">
        <v>80</v>
      </c>
      <c r="AP38" s="16" t="s">
        <v>80</v>
      </c>
      <c r="AQ38" s="16" t="s">
        <v>80</v>
      </c>
      <c r="AR38" s="16" t="s">
        <v>80</v>
      </c>
      <c r="AS38" s="16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</row>
    <row r="39" spans="1:221" x14ac:dyDescent="0.3">
      <c r="A39" s="2">
        <f>MATCH(C39,CV!$C$2:$C$39,0)</f>
        <v>22</v>
      </c>
      <c r="B39" s="2" t="str">
        <f>VLOOKUP(A39,CV!$A$2:$B$1899,2,FALSE)</f>
        <v>Αναβάθμιση συστημάτων παρακολούθησης δικτύου NMS.</v>
      </c>
      <c r="C39" s="2" t="s">
        <v>44</v>
      </c>
      <c r="D39" s="18">
        <v>9</v>
      </c>
      <c r="E39" s="2">
        <f t="shared" si="0"/>
        <v>5</v>
      </c>
      <c r="F39" s="26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16" t="s">
        <v>80</v>
      </c>
      <c r="DK39" s="16" t="s">
        <v>80</v>
      </c>
      <c r="DL39" s="16"/>
      <c r="DM39" s="16"/>
      <c r="DN39" s="16"/>
      <c r="DO39" s="16"/>
      <c r="DP39" s="16"/>
      <c r="DQ39" s="16" t="s">
        <v>80</v>
      </c>
      <c r="DR39" s="16" t="s">
        <v>80</v>
      </c>
      <c r="DS39" s="16" t="s">
        <v>80</v>
      </c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</row>
    <row r="40" spans="1:221" x14ac:dyDescent="0.3">
      <c r="A40" s="2">
        <f>MATCH(C40,CV!$C$2:$C$39,0)</f>
        <v>24</v>
      </c>
      <c r="B40" s="2" t="str">
        <f>VLOOKUP(A40,CV!$A$2:$B$1899,2,FALSE)</f>
        <v>Υποστήριξη Cloud υπηρεσιών MITA</v>
      </c>
      <c r="C40" s="2" t="s">
        <v>48</v>
      </c>
      <c r="D40" s="18">
        <v>16</v>
      </c>
      <c r="E40" s="2">
        <f t="shared" si="0"/>
        <v>12</v>
      </c>
      <c r="F40" s="26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16" t="s">
        <v>80</v>
      </c>
      <c r="EB40" s="16" t="s">
        <v>80</v>
      </c>
      <c r="EC40" s="16" t="s">
        <v>80</v>
      </c>
      <c r="ED40" s="16"/>
      <c r="EE40" s="16"/>
      <c r="EF40" s="16"/>
      <c r="EG40" s="16"/>
      <c r="EH40" s="16"/>
      <c r="EI40" s="16" t="s">
        <v>80</v>
      </c>
      <c r="EJ40" s="16" t="s">
        <v>80</v>
      </c>
      <c r="EK40" s="16" t="s">
        <v>80</v>
      </c>
      <c r="EL40" s="16" t="s">
        <v>80</v>
      </c>
      <c r="EM40" s="16" t="s">
        <v>80</v>
      </c>
      <c r="EN40" s="16" t="s">
        <v>80</v>
      </c>
      <c r="EO40" s="16" t="s">
        <v>80</v>
      </c>
      <c r="EP40" s="16" t="s">
        <v>80</v>
      </c>
      <c r="EQ40" s="16" t="s">
        <v>80</v>
      </c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</row>
    <row r="41" spans="1:221" x14ac:dyDescent="0.3">
      <c r="A41" s="2">
        <f>MATCH(C41,CV!$C$2:$C$39,0)</f>
        <v>17</v>
      </c>
      <c r="B41" s="2" t="str">
        <f>VLOOKUP(A41,CV!$A$2:$B$1899,2,FALSE)</f>
        <v>Σχεδιασμός, εγκατάσταση και παραμετροποίηση δικτύου ραντάρ υποστήριξης Αεροδρομίων Λάρνακας και Πάφου και παροχή υπηρεσιών υποστήριξης</v>
      </c>
      <c r="C41" s="2" t="s">
        <v>34</v>
      </c>
      <c r="D41" s="18">
        <v>17</v>
      </c>
      <c r="E41" s="2">
        <f t="shared" si="0"/>
        <v>9</v>
      </c>
      <c r="F41" s="26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16" t="s">
        <v>80</v>
      </c>
      <c r="CZ41" s="16" t="s">
        <v>80</v>
      </c>
      <c r="DA41" s="16"/>
      <c r="DB41" s="16" t="s">
        <v>80</v>
      </c>
      <c r="DC41" s="16" t="s">
        <v>80</v>
      </c>
      <c r="DD41" s="16" t="s">
        <v>80</v>
      </c>
      <c r="DE41" s="16" t="s">
        <v>80</v>
      </c>
      <c r="DF41" s="16" t="s">
        <v>80</v>
      </c>
      <c r="DG41" s="16" t="s">
        <v>80</v>
      </c>
      <c r="DH41" s="16"/>
      <c r="DI41" s="16" t="s">
        <v>80</v>
      </c>
      <c r="DJ41" s="16"/>
      <c r="DK41" s="16"/>
      <c r="DL41" s="16"/>
      <c r="DM41" s="16"/>
      <c r="DN41" s="16"/>
      <c r="DO41" s="16"/>
      <c r="DP41" s="16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</row>
    <row r="42" spans="1:221" x14ac:dyDescent="0.3">
      <c r="A42" s="2">
        <f>MATCH(C42,CV!$C$2:$C$39,0)</f>
        <v>11</v>
      </c>
      <c r="B42" s="2" t="str">
        <f>VLOOKUP(A42,CV!$A$2:$B$1899,2,FALSE)</f>
        <v>Εγκατάσταση/παραμετροποίηση των ραντάρ, εγκατάσταση παραμετροποίηση των λογισμικών, υποστήριξη και επίλυση δυσλειτουργιών σε επίπεδο ραντάρ και λογισμικό αυτών σε επίπεδο 1ο , 2ο και 3ο .</v>
      </c>
      <c r="C42" s="2" t="s">
        <v>23</v>
      </c>
      <c r="D42" s="19">
        <v>10</v>
      </c>
      <c r="E42" s="2">
        <f t="shared" si="0"/>
        <v>10</v>
      </c>
      <c r="F42" s="26"/>
      <c r="G42" s="2"/>
      <c r="H42" s="16" t="s">
        <v>80</v>
      </c>
      <c r="I42" s="16" t="s">
        <v>80</v>
      </c>
      <c r="J42" s="16" t="s">
        <v>80</v>
      </c>
      <c r="K42" s="16" t="s">
        <v>80</v>
      </c>
      <c r="L42" s="16" t="s">
        <v>80</v>
      </c>
      <c r="M42" s="16" t="s">
        <v>80</v>
      </c>
      <c r="N42" s="16" t="s">
        <v>80</v>
      </c>
      <c r="O42" s="16" t="s">
        <v>80</v>
      </c>
      <c r="P42" s="16" t="s">
        <v>80</v>
      </c>
      <c r="Q42" s="16" t="s">
        <v>80</v>
      </c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</row>
    <row r="43" spans="1:221" x14ac:dyDescent="0.3">
      <c r="A43" s="2">
        <f>MATCH(C43,CV!$C$2:$C$39,0)</f>
        <v>37</v>
      </c>
      <c r="B43" s="2" t="str">
        <f>VLOOKUP(A43,CV!$A$2:$B$1899,2,FALSE)</f>
        <v>Εγκατάσταση – Σχεδιασμός – Παραμετροποίηση και παροχή υπηρεσιών υποστήριξης νέου κυβερνητικού νέφους</v>
      </c>
      <c r="C43" s="2" t="s">
        <v>74</v>
      </c>
      <c r="D43" s="19">
        <v>3</v>
      </c>
      <c r="E43" s="2">
        <f t="shared" si="0"/>
        <v>3</v>
      </c>
      <c r="F43" s="26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16" t="s">
        <v>80</v>
      </c>
      <c r="GH43" s="16" t="s">
        <v>80</v>
      </c>
      <c r="GI43" s="16"/>
      <c r="GJ43" s="16" t="s">
        <v>80</v>
      </c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</row>
  </sheetData>
  <mergeCells count="36">
    <mergeCell ref="F5:Q5"/>
    <mergeCell ref="DJ5:DU5"/>
    <mergeCell ref="FF2:FQ2"/>
    <mergeCell ref="FR2:GC2"/>
    <mergeCell ref="BZ5:CK5"/>
    <mergeCell ref="F2:Q2"/>
    <mergeCell ref="ET5:FE5"/>
    <mergeCell ref="FF5:FQ5"/>
    <mergeCell ref="R2:AC2"/>
    <mergeCell ref="AD2:AO2"/>
    <mergeCell ref="FR5:GC5"/>
    <mergeCell ref="EH2:ES2"/>
    <mergeCell ref="CL5:CW5"/>
    <mergeCell ref="CX5:DI5"/>
    <mergeCell ref="ET2:FE2"/>
    <mergeCell ref="AP5:BA5"/>
    <mergeCell ref="BB5:BM5"/>
    <mergeCell ref="DJ2:DU2"/>
    <mergeCell ref="BN5:BY5"/>
    <mergeCell ref="DV2:EG2"/>
    <mergeCell ref="HB2:HM2"/>
    <mergeCell ref="BN2:BY2"/>
    <mergeCell ref="DV5:EG5"/>
    <mergeCell ref="GD2:GO2"/>
    <mergeCell ref="R5:AC5"/>
    <mergeCell ref="BZ2:CK2"/>
    <mergeCell ref="AD5:AO5"/>
    <mergeCell ref="CL2:CW2"/>
    <mergeCell ref="CX2:DI2"/>
    <mergeCell ref="EH5:ES5"/>
    <mergeCell ref="GD5:GO5"/>
    <mergeCell ref="HB5:HM5"/>
    <mergeCell ref="GP2:HA2"/>
    <mergeCell ref="AP2:BA2"/>
    <mergeCell ref="BB2:BM2"/>
    <mergeCell ref="GP5:HA5"/>
  </mergeCells>
  <pageMargins left="0.7" right="0.7" top="0.75" bottom="0.75" header="0.3" footer="0.3"/>
  <headerFooter>
    <oddFooter>&amp;L&amp;"Aptos"&amp;10 &amp;K000000_x000D_# Classification: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CV</vt:lpstr>
      <vt:lpstr>ΑΝΑΛΥΣΗ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 Aronis</dc:creator>
  <cp:lastModifiedBy>Dimitris Aronis</cp:lastModifiedBy>
  <dcterms:created xsi:type="dcterms:W3CDTF">2026-01-07T13:59:51Z</dcterms:created>
  <dcterms:modified xsi:type="dcterms:W3CDTF">2026-01-23T09:14:48Z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db69d4b-6db4-4e4e-994a-6aa83cf1f742_Enabled">
    <vt:lpwstr>true</vt:lpwstr>
  </property>
  <property fmtid="{D5CDD505-2E9C-101B-9397-08002B2CF9AE}" pid="3" name="MSIP_Label_6db69d4b-6db4-4e4e-994a-6aa83cf1f742_SetDate">
    <vt:lpwstr>2026-01-07T14:43:37Z</vt:lpwstr>
  </property>
  <property fmtid="{D5CDD505-2E9C-101B-9397-08002B2CF9AE}" pid="4" name="MSIP_Label_6db69d4b-6db4-4e4e-994a-6aa83cf1f742_Method">
    <vt:lpwstr>Privileged</vt:lpwstr>
  </property>
  <property fmtid="{D5CDD505-2E9C-101B-9397-08002B2CF9AE}" pid="5" name="MSIP_Label_6db69d4b-6db4-4e4e-994a-6aa83cf1f742_Name">
    <vt:lpwstr>Internal Use</vt:lpwstr>
  </property>
  <property fmtid="{D5CDD505-2E9C-101B-9397-08002B2CF9AE}" pid="6" name="MSIP_Label_6db69d4b-6db4-4e4e-994a-6aa83cf1f742_SiteId">
    <vt:lpwstr>16aebab9-7ae0-41ca-aa2e-1922d8efc264</vt:lpwstr>
  </property>
  <property fmtid="{D5CDD505-2E9C-101B-9397-08002B2CF9AE}" pid="7" name="MSIP_Label_6db69d4b-6db4-4e4e-994a-6aa83cf1f742_ActionId">
    <vt:lpwstr>ebb4a39b-276e-4e43-84f2-beb8ae529449</vt:lpwstr>
  </property>
  <property fmtid="{D5CDD505-2E9C-101B-9397-08002B2CF9AE}" pid="8" name="MSIP_Label_6db69d4b-6db4-4e4e-994a-6aa83cf1f742_ContentBits">
    <vt:lpwstr>2</vt:lpwstr>
  </property>
  <property fmtid="{D5CDD505-2E9C-101B-9397-08002B2CF9AE}" pid="9" name="MSIP_Label_6db69d4b-6db4-4e4e-994a-6aa83cf1f742_Tag">
    <vt:lpwstr>10, 0, 1, 1</vt:lpwstr>
  </property>
</Properties>
</file>